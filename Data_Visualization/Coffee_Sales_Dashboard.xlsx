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SI\Desktop\Practice_Project\Prac_Proj-CoffeeOrders\"/>
    </mc:Choice>
  </mc:AlternateContent>
  <xr:revisionPtr revIDLastSave="0" documentId="13_ncr:1_{F8EF234B-8242-453C-986F-34C687120064}" xr6:coauthVersionLast="47" xr6:coauthVersionMax="47" xr10:uidLastSave="{00000000-0000-0000-0000-000000000000}"/>
  <bookViews>
    <workbookView showSheetTabs="0" xWindow="-108" yWindow="-108" windowWidth="23256" windowHeight="12456" xr2:uid="{00000000-000D-0000-FFFF-FFFF00000000}"/>
  </bookViews>
  <sheets>
    <sheet name="Dashboard" sheetId="22" r:id="rId1"/>
    <sheet name="TotalSales" sheetId="18" r:id="rId2"/>
    <sheet name="CountryBarChart" sheetId="19"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61" i="17"/>
  <c r="O73" i="17"/>
  <c r="O74" i="17"/>
  <c r="O97" i="17"/>
  <c r="O101" i="17"/>
  <c r="O102" i="17"/>
  <c r="O117" i="17"/>
  <c r="O121" i="17"/>
  <c r="O122" i="17"/>
  <c r="O153" i="17"/>
  <c r="O161" i="17"/>
  <c r="O169" i="17"/>
  <c r="O199" i="17"/>
  <c r="O205" i="17"/>
  <c r="O207" i="17"/>
  <c r="O241" i="17"/>
  <c r="O253" i="17"/>
  <c r="O263" i="17"/>
  <c r="O285" i="17"/>
  <c r="O287" i="17"/>
  <c r="O309" i="17"/>
  <c r="O345" i="17"/>
  <c r="O346" i="17"/>
  <c r="O347" i="17"/>
  <c r="O349" i="17"/>
  <c r="O377" i="17"/>
  <c r="O397" i="17"/>
  <c r="O421" i="17"/>
  <c r="O427" i="17"/>
  <c r="O431" i="17"/>
  <c r="O433" i="17"/>
  <c r="O469" i="17"/>
  <c r="O473" i="17"/>
  <c r="O493" i="17"/>
  <c r="O494" i="17"/>
  <c r="O501" i="17"/>
  <c r="O507" i="17"/>
  <c r="O509" i="17"/>
  <c r="O510" i="17"/>
  <c r="O537" i="17"/>
  <c r="O541" i="17"/>
  <c r="O545" i="17"/>
  <c r="O569" i="17"/>
  <c r="O573" i="17"/>
  <c r="O575" i="17"/>
  <c r="O576" i="17"/>
  <c r="O609" i="17"/>
  <c r="O625" i="17"/>
  <c r="O627" i="17"/>
  <c r="O645" i="17"/>
  <c r="O689" i="17"/>
  <c r="O691" i="17"/>
  <c r="O693" i="17"/>
  <c r="O694" i="17"/>
  <c r="O695" i="17"/>
  <c r="O725" i="17"/>
  <c r="O729" i="17"/>
  <c r="O757" i="17"/>
  <c r="O759" i="17"/>
  <c r="O761" i="17"/>
  <c r="O762" i="17"/>
  <c r="O763" i="17"/>
  <c r="O801" i="17"/>
  <c r="O825" i="17"/>
  <c r="O829" i="17"/>
  <c r="O830" i="17"/>
  <c r="O831" i="17"/>
  <c r="O833" i="17"/>
  <c r="O865" i="17"/>
  <c r="O869" i="17"/>
  <c r="O877" i="17"/>
  <c r="O878" i="17"/>
  <c r="O899" i="17"/>
  <c r="O901" i="17"/>
  <c r="O937" i="17"/>
  <c r="O947" i="17"/>
  <c r="O953" i="17"/>
  <c r="O955" i="17"/>
  <c r="O967" i="17"/>
  <c r="O985" i="17"/>
  <c r="N8" i="17"/>
  <c r="N13" i="17"/>
  <c r="N14" i="17"/>
  <c r="N15" i="17"/>
  <c r="N19" i="17"/>
  <c r="N21" i="17"/>
  <c r="N22" i="17"/>
  <c r="N23" i="17"/>
  <c r="N49" i="17"/>
  <c r="N53" i="17"/>
  <c r="N54" i="17"/>
  <c r="N57" i="17"/>
  <c r="N81" i="17"/>
  <c r="N85" i="17"/>
  <c r="N89" i="17"/>
  <c r="N91" i="17"/>
  <c r="N92" i="17"/>
  <c r="N134" i="17"/>
  <c r="N137" i="17"/>
  <c r="N158" i="17"/>
  <c r="N159" i="17"/>
  <c r="N160" i="17"/>
  <c r="N161" i="17"/>
  <c r="N201" i="17"/>
  <c r="N205" i="17"/>
  <c r="N207" i="17"/>
  <c r="N228" i="17"/>
  <c r="N229" i="17"/>
  <c r="N237" i="17"/>
  <c r="N269" i="17"/>
  <c r="N270" i="17"/>
  <c r="N274" i="17"/>
  <c r="N275" i="17"/>
  <c r="N277" i="17"/>
  <c r="N278" i="17"/>
  <c r="N309" i="17"/>
  <c r="N310" i="17"/>
  <c r="N313" i="17"/>
  <c r="N333" i="17"/>
  <c r="N338" i="17"/>
  <c r="N339" i="17"/>
  <c r="N340" i="17"/>
  <c r="N345" i="17"/>
  <c r="N361" i="17"/>
  <c r="N366" i="17"/>
  <c r="N370" i="17"/>
  <c r="N374" i="17"/>
  <c r="N375" i="17"/>
  <c r="N393" i="17"/>
  <c r="N394" i="17"/>
  <c r="N397" i="17"/>
  <c r="N410" i="17"/>
  <c r="N421" i="17"/>
  <c r="N430" i="17"/>
  <c r="N431" i="17"/>
  <c r="N433" i="17"/>
  <c r="N434" i="17"/>
  <c r="N435" i="17"/>
  <c r="N453" i="17"/>
  <c r="N457" i="17"/>
  <c r="N461" i="17"/>
  <c r="N462" i="17"/>
  <c r="N465" i="17"/>
  <c r="N466" i="17"/>
  <c r="N479" i="17"/>
  <c r="N481" i="17"/>
  <c r="N482" i="17"/>
  <c r="N484" i="17"/>
  <c r="N493" i="17"/>
  <c r="N506" i="17"/>
  <c r="N510" i="17"/>
  <c r="N513" i="17"/>
  <c r="N514" i="17"/>
  <c r="N518" i="17"/>
  <c r="N519" i="17"/>
  <c r="N521" i="17"/>
  <c r="N533" i="17"/>
  <c r="N545" i="17"/>
  <c r="N546" i="17"/>
  <c r="N554" i="17"/>
  <c r="N562" i="17"/>
  <c r="N563" i="17"/>
  <c r="N565" i="17"/>
  <c r="N566" i="17"/>
  <c r="N569" i="17"/>
  <c r="N585" i="17"/>
  <c r="N586" i="17"/>
  <c r="N590" i="17"/>
  <c r="N593" i="17"/>
  <c r="N595" i="17"/>
  <c r="N609" i="17"/>
  <c r="N610" i="17"/>
  <c r="N617" i="17"/>
  <c r="N625" i="17"/>
  <c r="N634" i="17"/>
  <c r="N638" i="17"/>
  <c r="N639" i="17"/>
  <c r="N645" i="17"/>
  <c r="N646" i="17"/>
  <c r="N665" i="17"/>
  <c r="N669" i="17"/>
  <c r="N670" i="17"/>
  <c r="N682" i="17"/>
  <c r="N685" i="17"/>
  <c r="N686" i="17"/>
  <c r="N687" i="17"/>
  <c r="N693" i="17"/>
  <c r="N705" i="17"/>
  <c r="N706" i="17"/>
  <c r="N709" i="17"/>
  <c r="N710" i="17"/>
  <c r="N711" i="17"/>
  <c r="N713" i="17"/>
  <c r="N719" i="17"/>
  <c r="N737" i="17"/>
  <c r="N738" i="17"/>
  <c r="N749" i="17"/>
  <c r="N750" i="17"/>
  <c r="N755" i="17"/>
  <c r="N756" i="17"/>
  <c r="N757" i="17"/>
  <c r="N773" i="17"/>
  <c r="N777" i="17"/>
  <c r="N778" i="17"/>
  <c r="N781" i="17"/>
  <c r="N782" i="17"/>
  <c r="N783" i="17"/>
  <c r="N794" i="17"/>
  <c r="N796" i="17"/>
  <c r="N801" i="17"/>
  <c r="N805" i="17"/>
  <c r="N817" i="17"/>
  <c r="N818" i="17"/>
  <c r="N819" i="17"/>
  <c r="N821" i="17"/>
  <c r="N822" i="17"/>
  <c r="N823" i="17"/>
  <c r="N826" i="17"/>
  <c r="N841" i="17"/>
  <c r="N845" i="17"/>
  <c r="N846" i="17"/>
  <c r="N849" i="17"/>
  <c r="N855" i="17"/>
  <c r="N857" i="17"/>
  <c r="N858" i="17"/>
  <c r="N860" i="17"/>
  <c r="N869" i="17"/>
  <c r="N874" i="17"/>
  <c r="N877" i="17"/>
  <c r="N881" i="17"/>
  <c r="N882" i="17"/>
  <c r="N883" i="17"/>
  <c r="N884" i="17"/>
  <c r="N885" i="17"/>
  <c r="N897" i="17"/>
  <c r="N901" i="17"/>
  <c r="N902" i="17"/>
  <c r="N905" i="17"/>
  <c r="N911" i="17"/>
  <c r="N914" i="17"/>
  <c r="N915" i="17"/>
  <c r="N921" i="17"/>
  <c r="N930" i="17"/>
  <c r="N933" i="17"/>
  <c r="N934" i="17"/>
  <c r="N935" i="17"/>
  <c r="N937" i="17"/>
  <c r="N938" i="17"/>
  <c r="N953" i="17"/>
  <c r="N954" i="17"/>
  <c r="N957" i="17"/>
  <c r="N958" i="17"/>
  <c r="N959" i="17"/>
  <c r="N966" i="17"/>
  <c r="N968" i="17"/>
  <c r="N977" i="17"/>
  <c r="N978" i="17"/>
  <c r="N986" i="17"/>
  <c r="N989" i="17"/>
  <c r="N990" i="17"/>
  <c r="N991" i="17"/>
  <c r="N992" i="17"/>
  <c r="M5" i="17"/>
  <c r="M6" i="17"/>
  <c r="M8" i="17"/>
  <c r="M9" i="17"/>
  <c r="M12" i="17"/>
  <c r="M13" i="17"/>
  <c r="M15" i="17"/>
  <c r="M21" i="17"/>
  <c r="M28" i="17"/>
  <c r="M29" i="17"/>
  <c r="M32" i="17"/>
  <c r="M33" i="17"/>
  <c r="M41" i="17"/>
  <c r="M42" i="17"/>
  <c r="M43" i="17"/>
  <c r="M44" i="17"/>
  <c r="M45" i="17"/>
  <c r="M52" i="17"/>
  <c r="M57" i="17"/>
  <c r="M60" i="17"/>
  <c r="M61" i="17"/>
  <c r="M64" i="17"/>
  <c r="M66" i="17"/>
  <c r="M68" i="17"/>
  <c r="M69" i="17"/>
  <c r="M70" i="17"/>
  <c r="M80" i="17"/>
  <c r="M81" i="17"/>
  <c r="M84" i="17"/>
  <c r="M85" i="17"/>
  <c r="M88" i="17"/>
  <c r="M93" i="17"/>
  <c r="M96" i="17"/>
  <c r="M97" i="17"/>
  <c r="M98" i="17"/>
  <c r="M113" i="17"/>
  <c r="M116" i="17"/>
  <c r="M120" i="17"/>
  <c r="M121" i="17"/>
  <c r="M122" i="17"/>
  <c r="M123" i="17"/>
  <c r="M132" i="17"/>
  <c r="M136" i="17"/>
  <c r="M137" i="17"/>
  <c r="M140" i="17"/>
  <c r="M141" i="17"/>
  <c r="M142" i="17"/>
  <c r="M148" i="17"/>
  <c r="M150" i="17"/>
  <c r="M152" i="17"/>
  <c r="M153" i="17"/>
  <c r="M156" i="17"/>
  <c r="M160" i="17"/>
  <c r="M168" i="17"/>
  <c r="M169" i="17"/>
  <c r="M172" i="17"/>
  <c r="M173" i="17"/>
  <c r="M174" i="17"/>
  <c r="M175" i="17"/>
  <c r="M188" i="17"/>
  <c r="M189" i="17"/>
  <c r="M192" i="17"/>
  <c r="M193" i="17"/>
  <c r="M194" i="17"/>
  <c r="M200" i="17"/>
  <c r="M202" i="17"/>
  <c r="M203" i="17"/>
  <c r="M208" i="17"/>
  <c r="M209" i="17"/>
  <c r="M212" i="17"/>
  <c r="M217" i="17"/>
  <c r="M220" i="17"/>
  <c r="M221" i="17"/>
  <c r="M222" i="17"/>
  <c r="M223" i="17"/>
  <c r="M224" i="17"/>
  <c r="M225" i="17"/>
  <c r="M236" i="17"/>
  <c r="M237" i="17"/>
  <c r="M240" i="17"/>
  <c r="M241" i="17"/>
  <c r="M244" i="17"/>
  <c r="M245" i="17"/>
  <c r="M246" i="17"/>
  <c r="M251" i="17"/>
  <c r="M253" i="17"/>
  <c r="M256" i="17"/>
  <c r="M260" i="17"/>
  <c r="M261" i="17"/>
  <c r="M268" i="17"/>
  <c r="M272" i="17"/>
  <c r="M273" i="17"/>
  <c r="M274" i="17"/>
  <c r="M276" i="17"/>
  <c r="M288" i="17"/>
  <c r="M289" i="17"/>
  <c r="M292" i="17"/>
  <c r="M293" i="17"/>
  <c r="M294" i="17"/>
  <c r="M296" i="17"/>
  <c r="M297" i="17"/>
  <c r="M302" i="17"/>
  <c r="M312" i="17"/>
  <c r="M313" i="17"/>
  <c r="M321" i="17"/>
  <c r="M322" i="17"/>
  <c r="M324" i="17"/>
  <c r="M325" i="17"/>
  <c r="M326" i="17"/>
  <c r="M336" i="17"/>
  <c r="M340" i="17"/>
  <c r="M341" i="17"/>
  <c r="M344" i="17"/>
  <c r="M345" i="17"/>
  <c r="M346" i="17"/>
  <c r="M347" i="17"/>
  <c r="M348" i="17"/>
  <c r="M360" i="17"/>
  <c r="M361" i="17"/>
  <c r="M364" i="17"/>
  <c r="M365" i="17"/>
  <c r="M370" i="17"/>
  <c r="M373" i="17"/>
  <c r="M374" i="17"/>
  <c r="M375" i="17"/>
  <c r="M376" i="17"/>
  <c r="M388" i="17"/>
  <c r="M392" i="17"/>
  <c r="M393" i="17"/>
  <c r="M394" i="17"/>
  <c r="M396" i="17"/>
  <c r="M397" i="17"/>
  <c r="M398" i="17"/>
  <c r="M408" i="17"/>
  <c r="M409" i="17"/>
  <c r="M412" i="17"/>
  <c r="M413" i="17"/>
  <c r="M416" i="17"/>
  <c r="M422" i="17"/>
  <c r="M423" i="17"/>
  <c r="M424" i="17"/>
  <c r="M432" i="17"/>
  <c r="M433" i="17"/>
  <c r="M440" i="17"/>
  <c r="M441" i="17"/>
  <c r="M442" i="17"/>
  <c r="M443" i="17"/>
  <c r="M444" i="17"/>
  <c r="M445" i="17"/>
  <c r="M448" i="17"/>
  <c r="M456" i="17"/>
  <c r="M457" i="17"/>
  <c r="M460" i="17"/>
  <c r="M461" i="17"/>
  <c r="M462" i="17"/>
  <c r="M464" i="17"/>
  <c r="M465" i="17"/>
  <c r="M466" i="17"/>
  <c r="M476" i="17"/>
  <c r="M477" i="17"/>
  <c r="M480" i="17"/>
  <c r="M481" i="17"/>
  <c r="M484" i="17"/>
  <c r="M485" i="17"/>
  <c r="M490" i="17"/>
  <c r="M491" i="17"/>
  <c r="M492" i="17"/>
  <c r="M500" i="17"/>
  <c r="M501" i="17"/>
  <c r="M508" i="17"/>
  <c r="M509" i="17"/>
  <c r="M510" i="17"/>
  <c r="M511" i="17"/>
  <c r="M512" i="17"/>
  <c r="M513" i="17"/>
  <c r="M524" i="17"/>
  <c r="M525" i="17"/>
  <c r="M528" i="17"/>
  <c r="M529" i="17"/>
  <c r="M530" i="17"/>
  <c r="M532" i="17"/>
  <c r="M533" i="17"/>
  <c r="M534" i="17"/>
  <c r="M535" i="17"/>
  <c r="M544" i="17"/>
  <c r="M545" i="17"/>
  <c r="M548" i="17"/>
  <c r="M549" i="17"/>
  <c r="M552" i="17"/>
  <c r="M553" i="17"/>
  <c r="M558" i="17"/>
  <c r="M559" i="17"/>
  <c r="M560" i="17"/>
  <c r="M564" i="17"/>
  <c r="M568" i="17"/>
  <c r="M569" i="17"/>
  <c r="M576" i="17"/>
  <c r="M577" i="17"/>
  <c r="M578" i="17"/>
  <c r="M579" i="17"/>
  <c r="M580" i="17"/>
  <c r="M581" i="17"/>
  <c r="M584" i="17"/>
  <c r="M592" i="17"/>
  <c r="M593" i="17"/>
  <c r="M596" i="17"/>
  <c r="M597" i="17"/>
  <c r="M598" i="17"/>
  <c r="M599" i="17"/>
  <c r="M600" i="17"/>
  <c r="M601" i="17"/>
  <c r="M608" i="17"/>
  <c r="M612" i="17"/>
  <c r="M613" i="17"/>
  <c r="M616" i="17"/>
  <c r="M617" i="17"/>
  <c r="M618" i="17"/>
  <c r="M623" i="17"/>
  <c r="M624" i="17"/>
  <c r="M625" i="17"/>
  <c r="M628" i="17"/>
  <c r="M632" i="17"/>
  <c r="M633" i="17"/>
  <c r="M640" i="17"/>
  <c r="M641" i="17"/>
  <c r="M642" i="17"/>
  <c r="M643" i="17"/>
  <c r="M644" i="17"/>
  <c r="M645" i="17"/>
  <c r="M648" i="17"/>
  <c r="M656" i="17"/>
  <c r="M657" i="17"/>
  <c r="M660" i="17"/>
  <c r="M661" i="17"/>
  <c r="M662" i="17"/>
  <c r="M663" i="17"/>
  <c r="M664" i="17"/>
  <c r="M665" i="17"/>
  <c r="M672" i="17"/>
  <c r="M676" i="17"/>
  <c r="M677" i="17"/>
  <c r="M680" i="17"/>
  <c r="M681" i="17"/>
  <c r="M682" i="17"/>
  <c r="M687" i="17"/>
  <c r="M688" i="17"/>
  <c r="M689" i="17"/>
  <c r="M692" i="17"/>
  <c r="M696" i="17"/>
  <c r="M697" i="17"/>
  <c r="M704" i="17"/>
  <c r="M705" i="17"/>
  <c r="M706" i="17"/>
  <c r="M707" i="17"/>
  <c r="M708" i="17"/>
  <c r="M709" i="17"/>
  <c r="M712" i="17"/>
  <c r="M720" i="17"/>
  <c r="M721" i="17"/>
  <c r="M724" i="17"/>
  <c r="M725" i="17"/>
  <c r="M726" i="17"/>
  <c r="M727" i="17"/>
  <c r="M728" i="17"/>
  <c r="M729" i="17"/>
  <c r="M736" i="17"/>
  <c r="M740" i="17"/>
  <c r="M741" i="17"/>
  <c r="M744" i="17"/>
  <c r="M745" i="17"/>
  <c r="M746" i="17"/>
  <c r="M751" i="17"/>
  <c r="M752" i="17"/>
  <c r="M753" i="17"/>
  <c r="M756" i="17"/>
  <c r="M760" i="17"/>
  <c r="M761" i="17"/>
  <c r="M768" i="17"/>
  <c r="M769" i="17"/>
  <c r="M770" i="17"/>
  <c r="M771" i="17"/>
  <c r="M772" i="17"/>
  <c r="M773" i="17"/>
  <c r="M776" i="17"/>
  <c r="M784" i="17"/>
  <c r="M785" i="17"/>
  <c r="M788" i="17"/>
  <c r="M789" i="17"/>
  <c r="M790" i="17"/>
  <c r="M791" i="17"/>
  <c r="M792" i="17"/>
  <c r="M793" i="17"/>
  <c r="M800" i="17"/>
  <c r="M804" i="17"/>
  <c r="M805" i="17"/>
  <c r="M808" i="17"/>
  <c r="M809" i="17"/>
  <c r="M810" i="17"/>
  <c r="M815" i="17"/>
  <c r="M816" i="17"/>
  <c r="M817" i="17"/>
  <c r="M820" i="17"/>
  <c r="M824" i="17"/>
  <c r="M825" i="17"/>
  <c r="M832" i="17"/>
  <c r="M833" i="17"/>
  <c r="M834" i="17"/>
  <c r="M835" i="17"/>
  <c r="M836" i="17"/>
  <c r="M837" i="17"/>
  <c r="M840" i="17"/>
  <c r="M848" i="17"/>
  <c r="M849" i="17"/>
  <c r="M852" i="17"/>
  <c r="M853" i="17"/>
  <c r="M854" i="17"/>
  <c r="M855" i="17"/>
  <c r="M856" i="17"/>
  <c r="M857" i="17"/>
  <c r="M864" i="17"/>
  <c r="M868" i="17"/>
  <c r="M869" i="17"/>
  <c r="M872" i="17"/>
  <c r="M873" i="17"/>
  <c r="M874" i="17"/>
  <c r="M879" i="17"/>
  <c r="M880" i="17"/>
  <c r="M881" i="17"/>
  <c r="M884" i="17"/>
  <c r="M888" i="17"/>
  <c r="M889" i="17"/>
  <c r="M896" i="17"/>
  <c r="M897" i="17"/>
  <c r="M898" i="17"/>
  <c r="M899" i="17"/>
  <c r="M900" i="17"/>
  <c r="M901" i="17"/>
  <c r="M904" i="17"/>
  <c r="M912" i="17"/>
  <c r="M913" i="17"/>
  <c r="M916" i="17"/>
  <c r="M917" i="17"/>
  <c r="M918" i="17"/>
  <c r="M919" i="17"/>
  <c r="M920" i="17"/>
  <c r="M921" i="17"/>
  <c r="M928" i="17"/>
  <c r="M932" i="17"/>
  <c r="M933" i="17"/>
  <c r="M936" i="17"/>
  <c r="M937" i="17"/>
  <c r="M938" i="17"/>
  <c r="M943" i="17"/>
  <c r="M944" i="17"/>
  <c r="M945" i="17"/>
  <c r="M948" i="17"/>
  <c r="M952" i="17"/>
  <c r="M953" i="17"/>
  <c r="M960" i="17"/>
  <c r="M961" i="17"/>
  <c r="M962" i="17"/>
  <c r="M963" i="17"/>
  <c r="M964" i="17"/>
  <c r="M965" i="17"/>
  <c r="M968" i="17"/>
  <c r="M976" i="17"/>
  <c r="M977" i="17"/>
  <c r="M980" i="17"/>
  <c r="M981" i="17"/>
  <c r="M982" i="17"/>
  <c r="M983" i="17"/>
  <c r="M984" i="17"/>
  <c r="M985" i="17"/>
  <c r="M992" i="17"/>
  <c r="M996" i="17"/>
  <c r="M997" i="17"/>
  <c r="M1000" i="17"/>
  <c r="M1001" i="17"/>
  <c r="M2" i="17"/>
  <c r="I8" i="17"/>
  <c r="J8" i="17"/>
  <c r="O8" i="17" s="1"/>
  <c r="K8" i="17"/>
  <c r="L8" i="17"/>
  <c r="I9" i="17"/>
  <c r="N9" i="17" s="1"/>
  <c r="J9" i="17"/>
  <c r="O9" i="17" s="1"/>
  <c r="K9" i="17"/>
  <c r="L9" i="17"/>
  <c r="I10" i="17"/>
  <c r="N10" i="17" s="1"/>
  <c r="J10" i="17"/>
  <c r="O10" i="17" s="1"/>
  <c r="K10" i="17"/>
  <c r="L10" i="17"/>
  <c r="M10" i="17" s="1"/>
  <c r="I11" i="17"/>
  <c r="N11" i="17" s="1"/>
  <c r="J11" i="17"/>
  <c r="O11" i="17" s="1"/>
  <c r="K11" i="17"/>
  <c r="L11" i="17"/>
  <c r="M11" i="17" s="1"/>
  <c r="I12" i="17"/>
  <c r="N12" i="17" s="1"/>
  <c r="J12" i="17"/>
  <c r="O12" i="17" s="1"/>
  <c r="K12" i="17"/>
  <c r="L12" i="17"/>
  <c r="I13" i="17"/>
  <c r="J13" i="17"/>
  <c r="O13" i="17" s="1"/>
  <c r="K13" i="17"/>
  <c r="L13" i="17"/>
  <c r="I14" i="17"/>
  <c r="J14" i="17"/>
  <c r="O14" i="17" s="1"/>
  <c r="K14" i="17"/>
  <c r="L14" i="17"/>
  <c r="M14" i="17" s="1"/>
  <c r="I15" i="17"/>
  <c r="J15" i="17"/>
  <c r="O15" i="17" s="1"/>
  <c r="K15" i="17"/>
  <c r="L15" i="17"/>
  <c r="I16" i="17"/>
  <c r="N16" i="17" s="1"/>
  <c r="J16" i="17"/>
  <c r="O16" i="17" s="1"/>
  <c r="K16" i="17"/>
  <c r="L16" i="17"/>
  <c r="M16" i="17" s="1"/>
  <c r="I17" i="17"/>
  <c r="N17" i="17" s="1"/>
  <c r="J17" i="17"/>
  <c r="O17" i="17" s="1"/>
  <c r="K17" i="17"/>
  <c r="L17" i="17"/>
  <c r="M17" i="17" s="1"/>
  <c r="I18" i="17"/>
  <c r="N18" i="17" s="1"/>
  <c r="J18" i="17"/>
  <c r="O18" i="17" s="1"/>
  <c r="K18" i="17"/>
  <c r="L18" i="17"/>
  <c r="M18" i="17" s="1"/>
  <c r="I19" i="17"/>
  <c r="J19" i="17"/>
  <c r="O19" i="17" s="1"/>
  <c r="K19" i="17"/>
  <c r="L19" i="17"/>
  <c r="M19" i="17" s="1"/>
  <c r="I20" i="17"/>
  <c r="N20" i="17" s="1"/>
  <c r="J20" i="17"/>
  <c r="O20" i="17" s="1"/>
  <c r="K20" i="17"/>
  <c r="L20" i="17"/>
  <c r="M20" i="17" s="1"/>
  <c r="I21" i="17"/>
  <c r="J21" i="17"/>
  <c r="O21" i="17" s="1"/>
  <c r="K21" i="17"/>
  <c r="L21" i="17"/>
  <c r="I22" i="17"/>
  <c r="J22" i="17"/>
  <c r="O22" i="17" s="1"/>
  <c r="K22" i="17"/>
  <c r="L22" i="17"/>
  <c r="M22" i="17" s="1"/>
  <c r="I23" i="17"/>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I29" i="17"/>
  <c r="N29" i="17" s="1"/>
  <c r="J29" i="17"/>
  <c r="O29" i="17" s="1"/>
  <c r="K29" i="17"/>
  <c r="L29" i="17"/>
  <c r="I30" i="17"/>
  <c r="N30" i="17" s="1"/>
  <c r="J30" i="17"/>
  <c r="O30" i="17" s="1"/>
  <c r="K30" i="17"/>
  <c r="L30" i="17"/>
  <c r="M30" i="17" s="1"/>
  <c r="I31" i="17"/>
  <c r="N31" i="17" s="1"/>
  <c r="J31" i="17"/>
  <c r="O31" i="17" s="1"/>
  <c r="K31" i="17"/>
  <c r="L31" i="17"/>
  <c r="M31" i="17" s="1"/>
  <c r="I32" i="17"/>
  <c r="N32" i="17" s="1"/>
  <c r="J32" i="17"/>
  <c r="O32" i="17" s="1"/>
  <c r="K32" i="17"/>
  <c r="L32" i="17"/>
  <c r="I33" i="17"/>
  <c r="N33" i="17" s="1"/>
  <c r="J33" i="17"/>
  <c r="O33" i="17" s="1"/>
  <c r="K33" i="17"/>
  <c r="L33" i="17"/>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I42" i="17"/>
  <c r="N42" i="17" s="1"/>
  <c r="J42" i="17"/>
  <c r="O42" i="17" s="1"/>
  <c r="K42" i="17"/>
  <c r="L42" i="17"/>
  <c r="I43" i="17"/>
  <c r="N43" i="17" s="1"/>
  <c r="J43" i="17"/>
  <c r="O43" i="17" s="1"/>
  <c r="K43" i="17"/>
  <c r="L43" i="17"/>
  <c r="I44" i="17"/>
  <c r="N44" i="17" s="1"/>
  <c r="J44" i="17"/>
  <c r="O44" i="17" s="1"/>
  <c r="K44" i="17"/>
  <c r="L44" i="17"/>
  <c r="I45" i="17"/>
  <c r="N45" i="17" s="1"/>
  <c r="J45" i="17"/>
  <c r="O45" i="17" s="1"/>
  <c r="K45" i="17"/>
  <c r="L45" i="17"/>
  <c r="I46" i="17"/>
  <c r="N46" i="17" s="1"/>
  <c r="J46" i="17"/>
  <c r="O46" i="17" s="1"/>
  <c r="K46" i="17"/>
  <c r="L46" i="17"/>
  <c r="M46" i="17" s="1"/>
  <c r="I47" i="17"/>
  <c r="N47" i="17" s="1"/>
  <c r="J47" i="17"/>
  <c r="O47" i="17" s="1"/>
  <c r="K47" i="17"/>
  <c r="L47" i="17"/>
  <c r="M47" i="17" s="1"/>
  <c r="I48" i="17"/>
  <c r="N48" i="17" s="1"/>
  <c r="J48" i="17"/>
  <c r="O48" i="17" s="1"/>
  <c r="K48" i="17"/>
  <c r="L48" i="17"/>
  <c r="M48" i="17" s="1"/>
  <c r="I49" i="17"/>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I53" i="17"/>
  <c r="J53" i="17"/>
  <c r="O53" i="17" s="1"/>
  <c r="K53" i="17"/>
  <c r="L53" i="17"/>
  <c r="M53" i="17" s="1"/>
  <c r="I54" i="17"/>
  <c r="J54" i="17"/>
  <c r="O54" i="17" s="1"/>
  <c r="K54" i="17"/>
  <c r="L54" i="17"/>
  <c r="M54" i="17" s="1"/>
  <c r="I55" i="17"/>
  <c r="N55" i="17" s="1"/>
  <c r="J55" i="17"/>
  <c r="O55" i="17" s="1"/>
  <c r="K55" i="17"/>
  <c r="L55" i="17"/>
  <c r="M55" i="17" s="1"/>
  <c r="I56" i="17"/>
  <c r="N56" i="17" s="1"/>
  <c r="J56" i="17"/>
  <c r="O56" i="17" s="1"/>
  <c r="K56" i="17"/>
  <c r="L56" i="17"/>
  <c r="M56" i="17" s="1"/>
  <c r="I57" i="17"/>
  <c r="J57" i="17"/>
  <c r="O57" i="17" s="1"/>
  <c r="K57" i="17"/>
  <c r="L57" i="17"/>
  <c r="I58" i="17"/>
  <c r="N58" i="17" s="1"/>
  <c r="J58" i="17"/>
  <c r="O58" i="17" s="1"/>
  <c r="K58" i="17"/>
  <c r="L58" i="17"/>
  <c r="M58" i="17" s="1"/>
  <c r="I59" i="17"/>
  <c r="N59" i="17" s="1"/>
  <c r="J59" i="17"/>
  <c r="O59" i="17" s="1"/>
  <c r="K59" i="17"/>
  <c r="L59" i="17"/>
  <c r="M59" i="17" s="1"/>
  <c r="I60" i="17"/>
  <c r="N60" i="17" s="1"/>
  <c r="J60" i="17"/>
  <c r="O60" i="17" s="1"/>
  <c r="K60" i="17"/>
  <c r="L60" i="17"/>
  <c r="I61" i="17"/>
  <c r="N61" i="17" s="1"/>
  <c r="J61" i="17"/>
  <c r="K61" i="17"/>
  <c r="L61" i="17"/>
  <c r="I62" i="17"/>
  <c r="N62" i="17" s="1"/>
  <c r="J62" i="17"/>
  <c r="O62" i="17" s="1"/>
  <c r="K62" i="17"/>
  <c r="L62" i="17"/>
  <c r="M62" i="17" s="1"/>
  <c r="I63" i="17"/>
  <c r="N63" i="17" s="1"/>
  <c r="J63" i="17"/>
  <c r="O63" i="17" s="1"/>
  <c r="K63" i="17"/>
  <c r="L63" i="17"/>
  <c r="M63" i="17" s="1"/>
  <c r="I64" i="17"/>
  <c r="N64" i="17" s="1"/>
  <c r="J64" i="17"/>
  <c r="O64" i="17" s="1"/>
  <c r="K64" i="17"/>
  <c r="L64" i="17"/>
  <c r="I65" i="17"/>
  <c r="N65" i="17" s="1"/>
  <c r="J65" i="17"/>
  <c r="O65" i="17" s="1"/>
  <c r="K65" i="17"/>
  <c r="L65" i="17"/>
  <c r="M65" i="17" s="1"/>
  <c r="I66" i="17"/>
  <c r="N66" i="17" s="1"/>
  <c r="J66" i="17"/>
  <c r="O66" i="17" s="1"/>
  <c r="K66" i="17"/>
  <c r="L66" i="17"/>
  <c r="I67" i="17"/>
  <c r="N67" i="17" s="1"/>
  <c r="J67" i="17"/>
  <c r="O67" i="17" s="1"/>
  <c r="K67" i="17"/>
  <c r="L67" i="17"/>
  <c r="M67" i="17" s="1"/>
  <c r="I68" i="17"/>
  <c r="N68" i="17" s="1"/>
  <c r="J68" i="17"/>
  <c r="O68" i="17" s="1"/>
  <c r="K68" i="17"/>
  <c r="L68" i="17"/>
  <c r="I69" i="17"/>
  <c r="N69" i="17" s="1"/>
  <c r="J69" i="17"/>
  <c r="O69" i="17" s="1"/>
  <c r="K69" i="17"/>
  <c r="L69" i="17"/>
  <c r="I70" i="17"/>
  <c r="N70" i="17" s="1"/>
  <c r="J70" i="17"/>
  <c r="O70" i="17" s="1"/>
  <c r="K70" i="17"/>
  <c r="L70" i="17"/>
  <c r="I71" i="17"/>
  <c r="N71" i="17" s="1"/>
  <c r="J71" i="17"/>
  <c r="O71" i="17" s="1"/>
  <c r="K71" i="17"/>
  <c r="L71" i="17"/>
  <c r="M71" i="17" s="1"/>
  <c r="I72" i="17"/>
  <c r="N72" i="17" s="1"/>
  <c r="J72" i="17"/>
  <c r="O72" i="17" s="1"/>
  <c r="K72" i="17"/>
  <c r="L72" i="17"/>
  <c r="M72" i="17" s="1"/>
  <c r="I73" i="17"/>
  <c r="N73" i="17" s="1"/>
  <c r="J73" i="17"/>
  <c r="K73" i="17"/>
  <c r="L73" i="17"/>
  <c r="M73" i="17" s="1"/>
  <c r="I74" i="17"/>
  <c r="N74" i="17" s="1"/>
  <c r="J74" i="17"/>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I81" i="17"/>
  <c r="J81" i="17"/>
  <c r="O81" i="17" s="1"/>
  <c r="K81" i="17"/>
  <c r="L81" i="17"/>
  <c r="I82" i="17"/>
  <c r="N82" i="17" s="1"/>
  <c r="J82" i="17"/>
  <c r="O82" i="17" s="1"/>
  <c r="K82" i="17"/>
  <c r="L82" i="17"/>
  <c r="M82" i="17" s="1"/>
  <c r="I83" i="17"/>
  <c r="N83" i="17" s="1"/>
  <c r="J83" i="17"/>
  <c r="O83" i="17" s="1"/>
  <c r="K83" i="17"/>
  <c r="L83" i="17"/>
  <c r="M83" i="17" s="1"/>
  <c r="I84" i="17"/>
  <c r="N84" i="17" s="1"/>
  <c r="J84" i="17"/>
  <c r="O84" i="17" s="1"/>
  <c r="K84" i="17"/>
  <c r="L84" i="17"/>
  <c r="I85" i="17"/>
  <c r="J85" i="17"/>
  <c r="O85" i="17" s="1"/>
  <c r="K85" i="17"/>
  <c r="L85" i="17"/>
  <c r="I86" i="17"/>
  <c r="N86" i="17" s="1"/>
  <c r="J86" i="17"/>
  <c r="O86" i="17" s="1"/>
  <c r="K86" i="17"/>
  <c r="L86" i="17"/>
  <c r="M86" i="17" s="1"/>
  <c r="I87" i="17"/>
  <c r="N87" i="17" s="1"/>
  <c r="J87" i="17"/>
  <c r="O87" i="17" s="1"/>
  <c r="K87" i="17"/>
  <c r="L87" i="17"/>
  <c r="M87" i="17" s="1"/>
  <c r="I88" i="17"/>
  <c r="N88" i="17" s="1"/>
  <c r="J88" i="17"/>
  <c r="O88" i="17" s="1"/>
  <c r="K88" i="17"/>
  <c r="L88" i="17"/>
  <c r="I89" i="17"/>
  <c r="J89" i="17"/>
  <c r="O89" i="17" s="1"/>
  <c r="K89" i="17"/>
  <c r="L89" i="17"/>
  <c r="M89" i="17" s="1"/>
  <c r="I90" i="17"/>
  <c r="N90" i="17" s="1"/>
  <c r="J90" i="17"/>
  <c r="O90" i="17" s="1"/>
  <c r="K90" i="17"/>
  <c r="L90" i="17"/>
  <c r="M90" i="17" s="1"/>
  <c r="I91" i="17"/>
  <c r="J91" i="17"/>
  <c r="O91" i="17" s="1"/>
  <c r="K91" i="17"/>
  <c r="L91" i="17"/>
  <c r="M91" i="17" s="1"/>
  <c r="I92" i="17"/>
  <c r="J92" i="17"/>
  <c r="O92" i="17" s="1"/>
  <c r="K92" i="17"/>
  <c r="L92" i="17"/>
  <c r="M92" i="17" s="1"/>
  <c r="I93" i="17"/>
  <c r="N93" i="17" s="1"/>
  <c r="J93" i="17"/>
  <c r="O93" i="17" s="1"/>
  <c r="K93" i="17"/>
  <c r="L93" i="17"/>
  <c r="I94" i="17"/>
  <c r="N94" i="17" s="1"/>
  <c r="J94" i="17"/>
  <c r="O94" i="17" s="1"/>
  <c r="K94" i="17"/>
  <c r="L94" i="17"/>
  <c r="M94" i="17" s="1"/>
  <c r="I95" i="17"/>
  <c r="N95" i="17" s="1"/>
  <c r="J95" i="17"/>
  <c r="O95" i="17" s="1"/>
  <c r="K95" i="17"/>
  <c r="L95" i="17"/>
  <c r="M95" i="17" s="1"/>
  <c r="I96" i="17"/>
  <c r="N96" i="17" s="1"/>
  <c r="J96" i="17"/>
  <c r="O96" i="17" s="1"/>
  <c r="K96" i="17"/>
  <c r="L96" i="17"/>
  <c r="I97" i="17"/>
  <c r="N97" i="17" s="1"/>
  <c r="J97" i="17"/>
  <c r="K97" i="17"/>
  <c r="L97" i="17"/>
  <c r="I98" i="17"/>
  <c r="N98" i="17" s="1"/>
  <c r="J98" i="17"/>
  <c r="O98" i="17" s="1"/>
  <c r="K98" i="17"/>
  <c r="L98" i="17"/>
  <c r="I99" i="17"/>
  <c r="N99" i="17" s="1"/>
  <c r="J99" i="17"/>
  <c r="O99" i="17" s="1"/>
  <c r="K99" i="17"/>
  <c r="L99" i="17"/>
  <c r="M99" i="17" s="1"/>
  <c r="I100" i="17"/>
  <c r="N100" i="17" s="1"/>
  <c r="J100" i="17"/>
  <c r="O100" i="17" s="1"/>
  <c r="K100" i="17"/>
  <c r="L100" i="17"/>
  <c r="M100" i="17" s="1"/>
  <c r="I101" i="17"/>
  <c r="N101" i="17" s="1"/>
  <c r="J101" i="17"/>
  <c r="K101" i="17"/>
  <c r="L101" i="17"/>
  <c r="M101" i="17" s="1"/>
  <c r="I102" i="17"/>
  <c r="N102" i="17" s="1"/>
  <c r="J102" i="17"/>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I114" i="17"/>
  <c r="N114" i="17" s="1"/>
  <c r="J114" i="17"/>
  <c r="O114" i="17" s="1"/>
  <c r="K114" i="17"/>
  <c r="L114" i="17"/>
  <c r="M114" i="17" s="1"/>
  <c r="I115" i="17"/>
  <c r="N115" i="17" s="1"/>
  <c r="J115" i="17"/>
  <c r="O115" i="17" s="1"/>
  <c r="K115" i="17"/>
  <c r="L115" i="17"/>
  <c r="M115" i="17" s="1"/>
  <c r="I116" i="17"/>
  <c r="N116" i="17" s="1"/>
  <c r="J116" i="17"/>
  <c r="O116" i="17" s="1"/>
  <c r="K116" i="17"/>
  <c r="L116" i="17"/>
  <c r="I117" i="17"/>
  <c r="N117" i="17" s="1"/>
  <c r="J117" i="17"/>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I121" i="17"/>
  <c r="N121" i="17" s="1"/>
  <c r="J121" i="17"/>
  <c r="K121" i="17"/>
  <c r="L121" i="17"/>
  <c r="I122" i="17"/>
  <c r="N122" i="17" s="1"/>
  <c r="J122" i="17"/>
  <c r="K122" i="17"/>
  <c r="L122" i="17"/>
  <c r="I123" i="17"/>
  <c r="N123" i="17" s="1"/>
  <c r="J123" i="17"/>
  <c r="O123" i="17" s="1"/>
  <c r="K123" i="17"/>
  <c r="L123" i="17"/>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I133" i="17"/>
  <c r="N133" i="17" s="1"/>
  <c r="J133" i="17"/>
  <c r="O133" i="17" s="1"/>
  <c r="K133" i="17"/>
  <c r="L133" i="17"/>
  <c r="M133" i="17" s="1"/>
  <c r="I134" i="17"/>
  <c r="J134" i="17"/>
  <c r="O134" i="17" s="1"/>
  <c r="K134" i="17"/>
  <c r="L134" i="17"/>
  <c r="M134" i="17" s="1"/>
  <c r="I135" i="17"/>
  <c r="N135" i="17" s="1"/>
  <c r="J135" i="17"/>
  <c r="O135" i="17" s="1"/>
  <c r="K135" i="17"/>
  <c r="L135" i="17"/>
  <c r="M135" i="17" s="1"/>
  <c r="I136" i="17"/>
  <c r="N136" i="17" s="1"/>
  <c r="J136" i="17"/>
  <c r="O136" i="17" s="1"/>
  <c r="K136" i="17"/>
  <c r="L136" i="17"/>
  <c r="I137" i="17"/>
  <c r="J137" i="17"/>
  <c r="O137" i="17" s="1"/>
  <c r="K137" i="17"/>
  <c r="L137" i="17"/>
  <c r="I138" i="17"/>
  <c r="N138" i="17" s="1"/>
  <c r="J138" i="17"/>
  <c r="O138" i="17" s="1"/>
  <c r="K138" i="17"/>
  <c r="L138" i="17"/>
  <c r="M138" i="17" s="1"/>
  <c r="I139" i="17"/>
  <c r="N139" i="17" s="1"/>
  <c r="J139" i="17"/>
  <c r="O139" i="17" s="1"/>
  <c r="K139" i="17"/>
  <c r="L139" i="17"/>
  <c r="M139" i="17" s="1"/>
  <c r="I140" i="17"/>
  <c r="N140" i="17" s="1"/>
  <c r="J140" i="17"/>
  <c r="O140" i="17" s="1"/>
  <c r="K140" i="17"/>
  <c r="L140" i="17"/>
  <c r="I141" i="17"/>
  <c r="N141" i="17" s="1"/>
  <c r="J141" i="17"/>
  <c r="O141" i="17" s="1"/>
  <c r="K141" i="17"/>
  <c r="L141" i="17"/>
  <c r="I142" i="17"/>
  <c r="N142" i="17" s="1"/>
  <c r="J142" i="17"/>
  <c r="O142" i="17" s="1"/>
  <c r="K142" i="17"/>
  <c r="L142" i="17"/>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I149" i="17"/>
  <c r="N149" i="17" s="1"/>
  <c r="J149" i="17"/>
  <c r="O149" i="17" s="1"/>
  <c r="K149" i="17"/>
  <c r="L149" i="17"/>
  <c r="M149" i="17" s="1"/>
  <c r="I150" i="17"/>
  <c r="N150" i="17" s="1"/>
  <c r="J150" i="17"/>
  <c r="O150" i="17" s="1"/>
  <c r="K150" i="17"/>
  <c r="L150" i="17"/>
  <c r="I151" i="17"/>
  <c r="N151" i="17" s="1"/>
  <c r="J151" i="17"/>
  <c r="O151" i="17" s="1"/>
  <c r="K151" i="17"/>
  <c r="L151" i="17"/>
  <c r="M151" i="17" s="1"/>
  <c r="I152" i="17"/>
  <c r="N152" i="17" s="1"/>
  <c r="J152" i="17"/>
  <c r="O152" i="17" s="1"/>
  <c r="K152" i="17"/>
  <c r="L152" i="17"/>
  <c r="I153" i="17"/>
  <c r="N153" i="17" s="1"/>
  <c r="J153" i="17"/>
  <c r="K153" i="17"/>
  <c r="L153" i="17"/>
  <c r="I154" i="17"/>
  <c r="N154" i="17" s="1"/>
  <c r="J154" i="17"/>
  <c r="O154" i="17" s="1"/>
  <c r="K154" i="17"/>
  <c r="L154" i="17"/>
  <c r="M154" i="17" s="1"/>
  <c r="I155" i="17"/>
  <c r="N155" i="17" s="1"/>
  <c r="J155" i="17"/>
  <c r="O155" i="17" s="1"/>
  <c r="K155" i="17"/>
  <c r="L155" i="17"/>
  <c r="M155" i="17" s="1"/>
  <c r="I156" i="17"/>
  <c r="N156" i="17" s="1"/>
  <c r="J156" i="17"/>
  <c r="O156" i="17" s="1"/>
  <c r="K156" i="17"/>
  <c r="L156" i="17"/>
  <c r="I157" i="17"/>
  <c r="N157" i="17" s="1"/>
  <c r="J157" i="17"/>
  <c r="O157" i="17" s="1"/>
  <c r="K157" i="17"/>
  <c r="L157" i="17"/>
  <c r="M157" i="17" s="1"/>
  <c r="I158" i="17"/>
  <c r="J158" i="17"/>
  <c r="O158" i="17" s="1"/>
  <c r="K158" i="17"/>
  <c r="L158" i="17"/>
  <c r="M158" i="17" s="1"/>
  <c r="I159" i="17"/>
  <c r="J159" i="17"/>
  <c r="O159" i="17" s="1"/>
  <c r="K159" i="17"/>
  <c r="L159" i="17"/>
  <c r="M159" i="17" s="1"/>
  <c r="I160" i="17"/>
  <c r="J160" i="17"/>
  <c r="O160" i="17" s="1"/>
  <c r="K160" i="17"/>
  <c r="L160" i="17"/>
  <c r="I161" i="17"/>
  <c r="J161" i="17"/>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I169" i="17"/>
  <c r="N169" i="17" s="1"/>
  <c r="J169" i="17"/>
  <c r="K169" i="17"/>
  <c r="L169" i="17"/>
  <c r="I170" i="17"/>
  <c r="N170" i="17" s="1"/>
  <c r="J170" i="17"/>
  <c r="O170" i="17" s="1"/>
  <c r="K170" i="17"/>
  <c r="L170" i="17"/>
  <c r="M170" i="17" s="1"/>
  <c r="I171" i="17"/>
  <c r="N171" i="17" s="1"/>
  <c r="J171" i="17"/>
  <c r="O171" i="17" s="1"/>
  <c r="K171" i="17"/>
  <c r="L171" i="17"/>
  <c r="M171" i="17" s="1"/>
  <c r="I172" i="17"/>
  <c r="N172" i="17" s="1"/>
  <c r="J172" i="17"/>
  <c r="O172" i="17" s="1"/>
  <c r="K172" i="17"/>
  <c r="L172" i="17"/>
  <c r="I173" i="17"/>
  <c r="N173" i="17" s="1"/>
  <c r="J173" i="17"/>
  <c r="O173" i="17" s="1"/>
  <c r="K173" i="17"/>
  <c r="L173" i="17"/>
  <c r="I174" i="17"/>
  <c r="N174" i="17" s="1"/>
  <c r="J174" i="17"/>
  <c r="O174" i="17" s="1"/>
  <c r="K174" i="17"/>
  <c r="L174" i="17"/>
  <c r="I175" i="17"/>
  <c r="N175" i="17" s="1"/>
  <c r="J175" i="17"/>
  <c r="O175" i="17" s="1"/>
  <c r="K175" i="17"/>
  <c r="L175" i="17"/>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I189" i="17"/>
  <c r="N189" i="17" s="1"/>
  <c r="J189" i="17"/>
  <c r="O189" i="17" s="1"/>
  <c r="K189" i="17"/>
  <c r="L189" i="17"/>
  <c r="I190" i="17"/>
  <c r="N190" i="17" s="1"/>
  <c r="J190" i="17"/>
  <c r="O190" i="17" s="1"/>
  <c r="K190" i="17"/>
  <c r="L190" i="17"/>
  <c r="M190" i="17" s="1"/>
  <c r="I191" i="17"/>
  <c r="N191" i="17" s="1"/>
  <c r="J191" i="17"/>
  <c r="O191" i="17" s="1"/>
  <c r="K191" i="17"/>
  <c r="L191" i="17"/>
  <c r="M191" i="17" s="1"/>
  <c r="I192" i="17"/>
  <c r="N192" i="17" s="1"/>
  <c r="J192" i="17"/>
  <c r="O192" i="17" s="1"/>
  <c r="K192" i="17"/>
  <c r="L192" i="17"/>
  <c r="I193" i="17"/>
  <c r="N193" i="17" s="1"/>
  <c r="J193" i="17"/>
  <c r="O193" i="17" s="1"/>
  <c r="K193" i="17"/>
  <c r="L193" i="17"/>
  <c r="I194" i="17"/>
  <c r="N194" i="17" s="1"/>
  <c r="J194" i="17"/>
  <c r="O194" i="17" s="1"/>
  <c r="K194" i="17"/>
  <c r="L194" i="17"/>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K199" i="17"/>
  <c r="L199" i="17"/>
  <c r="M199" i="17" s="1"/>
  <c r="I200" i="17"/>
  <c r="N200" i="17" s="1"/>
  <c r="J200" i="17"/>
  <c r="O200" i="17" s="1"/>
  <c r="K200" i="17"/>
  <c r="L200" i="17"/>
  <c r="I201" i="17"/>
  <c r="J201" i="17"/>
  <c r="O201" i="17" s="1"/>
  <c r="K201" i="17"/>
  <c r="L201" i="17"/>
  <c r="M201" i="17" s="1"/>
  <c r="I202" i="17"/>
  <c r="N202" i="17" s="1"/>
  <c r="J202" i="17"/>
  <c r="O202" i="17" s="1"/>
  <c r="K202" i="17"/>
  <c r="L202" i="17"/>
  <c r="I203" i="17"/>
  <c r="N203" i="17" s="1"/>
  <c r="J203" i="17"/>
  <c r="O203" i="17" s="1"/>
  <c r="K203" i="17"/>
  <c r="L203" i="17"/>
  <c r="I204" i="17"/>
  <c r="N204" i="17" s="1"/>
  <c r="J204" i="17"/>
  <c r="O204" i="17" s="1"/>
  <c r="K204" i="17"/>
  <c r="L204" i="17"/>
  <c r="M204" i="17" s="1"/>
  <c r="I205" i="17"/>
  <c r="J205" i="17"/>
  <c r="K205" i="17"/>
  <c r="L205" i="17"/>
  <c r="M205" i="17" s="1"/>
  <c r="I206" i="17"/>
  <c r="N206" i="17" s="1"/>
  <c r="J206" i="17"/>
  <c r="O206" i="17" s="1"/>
  <c r="K206" i="17"/>
  <c r="L206" i="17"/>
  <c r="M206" i="17" s="1"/>
  <c r="I207" i="17"/>
  <c r="J207" i="17"/>
  <c r="K207" i="17"/>
  <c r="L207" i="17"/>
  <c r="M207" i="17" s="1"/>
  <c r="I208" i="17"/>
  <c r="N208" i="17" s="1"/>
  <c r="J208" i="17"/>
  <c r="O208" i="17" s="1"/>
  <c r="K208" i="17"/>
  <c r="L208" i="17"/>
  <c r="I209" i="17"/>
  <c r="N209" i="17" s="1"/>
  <c r="J209" i="17"/>
  <c r="O209" i="17" s="1"/>
  <c r="K209" i="17"/>
  <c r="L209" i="17"/>
  <c r="I210" i="17"/>
  <c r="N210" i="17" s="1"/>
  <c r="J210" i="17"/>
  <c r="O210" i="17" s="1"/>
  <c r="K210" i="17"/>
  <c r="L210" i="17"/>
  <c r="M210" i="17" s="1"/>
  <c r="I211" i="17"/>
  <c r="N211" i="17" s="1"/>
  <c r="J211" i="17"/>
  <c r="O211" i="17" s="1"/>
  <c r="K211" i="17"/>
  <c r="L211" i="17"/>
  <c r="M211" i="17" s="1"/>
  <c r="I212" i="17"/>
  <c r="N212" i="17" s="1"/>
  <c r="J212" i="17"/>
  <c r="O212" i="17" s="1"/>
  <c r="K212" i="17"/>
  <c r="L212" i="17"/>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I218" i="17"/>
  <c r="N218" i="17" s="1"/>
  <c r="J218" i="17"/>
  <c r="O218" i="17" s="1"/>
  <c r="K218" i="17"/>
  <c r="L218" i="17"/>
  <c r="M218" i="17" s="1"/>
  <c r="I219" i="17"/>
  <c r="N219" i="17" s="1"/>
  <c r="J219" i="17"/>
  <c r="O219" i="17" s="1"/>
  <c r="K219" i="17"/>
  <c r="L219" i="17"/>
  <c r="M219" i="17" s="1"/>
  <c r="I220" i="17"/>
  <c r="N220" i="17" s="1"/>
  <c r="J220" i="17"/>
  <c r="O220" i="17" s="1"/>
  <c r="K220" i="17"/>
  <c r="L220" i="17"/>
  <c r="I221" i="17"/>
  <c r="N221" i="17" s="1"/>
  <c r="J221" i="17"/>
  <c r="O221" i="17" s="1"/>
  <c r="K221" i="17"/>
  <c r="L221" i="17"/>
  <c r="I222" i="17"/>
  <c r="N222" i="17" s="1"/>
  <c r="J222" i="17"/>
  <c r="O222" i="17" s="1"/>
  <c r="K222" i="17"/>
  <c r="L222" i="17"/>
  <c r="I223" i="17"/>
  <c r="N223" i="17" s="1"/>
  <c r="J223" i="17"/>
  <c r="O223" i="17" s="1"/>
  <c r="K223" i="17"/>
  <c r="L223" i="17"/>
  <c r="I224" i="17"/>
  <c r="N224" i="17" s="1"/>
  <c r="J224" i="17"/>
  <c r="O224" i="17" s="1"/>
  <c r="K224" i="17"/>
  <c r="L224" i="17"/>
  <c r="I225" i="17"/>
  <c r="N225" i="17" s="1"/>
  <c r="J225" i="17"/>
  <c r="O225" i="17" s="1"/>
  <c r="K225" i="17"/>
  <c r="L225" i="17"/>
  <c r="I226" i="17"/>
  <c r="N226" i="17" s="1"/>
  <c r="J226" i="17"/>
  <c r="O226" i="17" s="1"/>
  <c r="K226" i="17"/>
  <c r="L226" i="17"/>
  <c r="M226" i="17" s="1"/>
  <c r="I227" i="17"/>
  <c r="N227" i="17" s="1"/>
  <c r="J227" i="17"/>
  <c r="O227" i="17" s="1"/>
  <c r="K227" i="17"/>
  <c r="L227" i="17"/>
  <c r="M227" i="17" s="1"/>
  <c r="I228" i="17"/>
  <c r="J228" i="17"/>
  <c r="O228" i="17" s="1"/>
  <c r="K228" i="17"/>
  <c r="L228" i="17"/>
  <c r="M228" i="17" s="1"/>
  <c r="I229" i="17"/>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I237" i="17"/>
  <c r="J237" i="17"/>
  <c r="O237" i="17" s="1"/>
  <c r="K237" i="17"/>
  <c r="L237" i="17"/>
  <c r="I238" i="17"/>
  <c r="N238" i="17" s="1"/>
  <c r="J238" i="17"/>
  <c r="O238" i="17" s="1"/>
  <c r="K238" i="17"/>
  <c r="L238" i="17"/>
  <c r="M238" i="17" s="1"/>
  <c r="I239" i="17"/>
  <c r="N239" i="17" s="1"/>
  <c r="J239" i="17"/>
  <c r="O239" i="17" s="1"/>
  <c r="K239" i="17"/>
  <c r="L239" i="17"/>
  <c r="M239" i="17" s="1"/>
  <c r="I240" i="17"/>
  <c r="N240" i="17" s="1"/>
  <c r="J240" i="17"/>
  <c r="O240" i="17" s="1"/>
  <c r="K240" i="17"/>
  <c r="L240" i="17"/>
  <c r="I241" i="17"/>
  <c r="N241" i="17" s="1"/>
  <c r="J241" i="17"/>
  <c r="K241" i="17"/>
  <c r="L241" i="17"/>
  <c r="I242" i="17"/>
  <c r="N242" i="17" s="1"/>
  <c r="J242" i="17"/>
  <c r="O242" i="17" s="1"/>
  <c r="K242" i="17"/>
  <c r="L242" i="17"/>
  <c r="M242" i="17" s="1"/>
  <c r="I243" i="17"/>
  <c r="N243" i="17" s="1"/>
  <c r="J243" i="17"/>
  <c r="O243" i="17" s="1"/>
  <c r="K243" i="17"/>
  <c r="L243" i="17"/>
  <c r="M243" i="17" s="1"/>
  <c r="I244" i="17"/>
  <c r="N244" i="17" s="1"/>
  <c r="J244" i="17"/>
  <c r="O244" i="17" s="1"/>
  <c r="K244" i="17"/>
  <c r="L244" i="17"/>
  <c r="I245" i="17"/>
  <c r="N245" i="17" s="1"/>
  <c r="J245" i="17"/>
  <c r="O245" i="17" s="1"/>
  <c r="K245" i="17"/>
  <c r="L245" i="17"/>
  <c r="I246" i="17"/>
  <c r="N246" i="17" s="1"/>
  <c r="J246" i="17"/>
  <c r="O246" i="17" s="1"/>
  <c r="K246" i="17"/>
  <c r="L246" i="17"/>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I252" i="17"/>
  <c r="N252" i="17" s="1"/>
  <c r="J252" i="17"/>
  <c r="O252" i="17" s="1"/>
  <c r="K252" i="17"/>
  <c r="L252" i="17"/>
  <c r="M252" i="17" s="1"/>
  <c r="I253" i="17"/>
  <c r="N253" i="17" s="1"/>
  <c r="J253" i="17"/>
  <c r="K253" i="17"/>
  <c r="L253" i="17"/>
  <c r="I254" i="17"/>
  <c r="N254" i="17" s="1"/>
  <c r="J254" i="17"/>
  <c r="O254" i="17" s="1"/>
  <c r="K254" i="17"/>
  <c r="L254" i="17"/>
  <c r="M254" i="17" s="1"/>
  <c r="I255" i="17"/>
  <c r="N255" i="17" s="1"/>
  <c r="J255" i="17"/>
  <c r="O255" i="17" s="1"/>
  <c r="K255" i="17"/>
  <c r="L255" i="17"/>
  <c r="M255" i="17" s="1"/>
  <c r="I256" i="17"/>
  <c r="N256" i="17" s="1"/>
  <c r="J256" i="17"/>
  <c r="O256" i="17" s="1"/>
  <c r="K256" i="17"/>
  <c r="L256" i="17"/>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I261" i="17"/>
  <c r="N261" i="17" s="1"/>
  <c r="J261" i="17"/>
  <c r="O261" i="17" s="1"/>
  <c r="K261" i="17"/>
  <c r="L261" i="17"/>
  <c r="I262" i="17"/>
  <c r="N262" i="17" s="1"/>
  <c r="J262" i="17"/>
  <c r="O262" i="17" s="1"/>
  <c r="K262" i="17"/>
  <c r="L262" i="17"/>
  <c r="M262" i="17" s="1"/>
  <c r="I263" i="17"/>
  <c r="N263" i="17" s="1"/>
  <c r="J263" i="17"/>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I269" i="17"/>
  <c r="J269" i="17"/>
  <c r="O269" i="17" s="1"/>
  <c r="K269" i="17"/>
  <c r="L269" i="17"/>
  <c r="M269" i="17" s="1"/>
  <c r="I270" i="17"/>
  <c r="J270" i="17"/>
  <c r="O270" i="17" s="1"/>
  <c r="K270" i="17"/>
  <c r="L270" i="17"/>
  <c r="M270" i="17" s="1"/>
  <c r="I271" i="17"/>
  <c r="N271" i="17" s="1"/>
  <c r="J271" i="17"/>
  <c r="O271" i="17" s="1"/>
  <c r="K271" i="17"/>
  <c r="L271" i="17"/>
  <c r="M271" i="17" s="1"/>
  <c r="I272" i="17"/>
  <c r="N272" i="17" s="1"/>
  <c r="J272" i="17"/>
  <c r="O272" i="17" s="1"/>
  <c r="K272" i="17"/>
  <c r="L272" i="17"/>
  <c r="I273" i="17"/>
  <c r="N273" i="17" s="1"/>
  <c r="J273" i="17"/>
  <c r="O273" i="17" s="1"/>
  <c r="K273" i="17"/>
  <c r="L273" i="17"/>
  <c r="I274" i="17"/>
  <c r="J274" i="17"/>
  <c r="O274" i="17" s="1"/>
  <c r="K274" i="17"/>
  <c r="L274" i="17"/>
  <c r="I275" i="17"/>
  <c r="J275" i="17"/>
  <c r="O275" i="17" s="1"/>
  <c r="K275" i="17"/>
  <c r="L275" i="17"/>
  <c r="M275" i="17" s="1"/>
  <c r="I276" i="17"/>
  <c r="N276" i="17" s="1"/>
  <c r="J276" i="17"/>
  <c r="O276" i="17" s="1"/>
  <c r="K276" i="17"/>
  <c r="L276" i="17"/>
  <c r="I277" i="17"/>
  <c r="J277" i="17"/>
  <c r="O277" i="17" s="1"/>
  <c r="K277" i="17"/>
  <c r="L277" i="17"/>
  <c r="M277" i="17" s="1"/>
  <c r="I278" i="17"/>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K285" i="17"/>
  <c r="L285" i="17"/>
  <c r="M285" i="17" s="1"/>
  <c r="I286" i="17"/>
  <c r="N286" i="17" s="1"/>
  <c r="J286" i="17"/>
  <c r="O286" i="17" s="1"/>
  <c r="K286" i="17"/>
  <c r="L286" i="17"/>
  <c r="M286" i="17" s="1"/>
  <c r="I287" i="17"/>
  <c r="N287" i="17" s="1"/>
  <c r="J287" i="17"/>
  <c r="K287" i="17"/>
  <c r="L287" i="17"/>
  <c r="M287" i="17" s="1"/>
  <c r="I288" i="17"/>
  <c r="N288" i="17" s="1"/>
  <c r="J288" i="17"/>
  <c r="O288" i="17" s="1"/>
  <c r="K288" i="17"/>
  <c r="L288" i="17"/>
  <c r="I289" i="17"/>
  <c r="N289" i="17" s="1"/>
  <c r="J289" i="17"/>
  <c r="O289" i="17" s="1"/>
  <c r="K289" i="17"/>
  <c r="L289" i="17"/>
  <c r="I290" i="17"/>
  <c r="N290" i="17" s="1"/>
  <c r="J290" i="17"/>
  <c r="O290" i="17" s="1"/>
  <c r="K290" i="17"/>
  <c r="L290" i="17"/>
  <c r="M290" i="17" s="1"/>
  <c r="I291" i="17"/>
  <c r="N291" i="17" s="1"/>
  <c r="J291" i="17"/>
  <c r="O291" i="17" s="1"/>
  <c r="K291" i="17"/>
  <c r="L291" i="17"/>
  <c r="M291" i="17" s="1"/>
  <c r="I292" i="17"/>
  <c r="N292" i="17" s="1"/>
  <c r="J292" i="17"/>
  <c r="O292" i="17" s="1"/>
  <c r="K292" i="17"/>
  <c r="L292" i="17"/>
  <c r="I293" i="17"/>
  <c r="N293" i="17" s="1"/>
  <c r="J293" i="17"/>
  <c r="O293" i="17" s="1"/>
  <c r="K293" i="17"/>
  <c r="L293" i="17"/>
  <c r="I294" i="17"/>
  <c r="N294" i="17" s="1"/>
  <c r="J294" i="17"/>
  <c r="O294" i="17" s="1"/>
  <c r="K294" i="17"/>
  <c r="L294" i="17"/>
  <c r="I295" i="17"/>
  <c r="N295" i="17" s="1"/>
  <c r="J295" i="17"/>
  <c r="O295" i="17" s="1"/>
  <c r="K295" i="17"/>
  <c r="L295" i="17"/>
  <c r="M295" i="17" s="1"/>
  <c r="I296" i="17"/>
  <c r="N296" i="17" s="1"/>
  <c r="J296" i="17"/>
  <c r="O296" i="17" s="1"/>
  <c r="K296" i="17"/>
  <c r="L296" i="17"/>
  <c r="I297" i="17"/>
  <c r="N297" i="17" s="1"/>
  <c r="J297" i="17"/>
  <c r="O297" i="17" s="1"/>
  <c r="K297" i="17"/>
  <c r="L297" i="17"/>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J309" i="17"/>
  <c r="K309" i="17"/>
  <c r="L309" i="17"/>
  <c r="M309" i="17" s="1"/>
  <c r="I310" i="17"/>
  <c r="J310" i="17"/>
  <c r="O310" i="17" s="1"/>
  <c r="K310" i="17"/>
  <c r="L310" i="17"/>
  <c r="M310" i="17" s="1"/>
  <c r="I311" i="17"/>
  <c r="N311" i="17" s="1"/>
  <c r="J311" i="17"/>
  <c r="O311" i="17" s="1"/>
  <c r="K311" i="17"/>
  <c r="L311" i="17"/>
  <c r="M311" i="17" s="1"/>
  <c r="I312" i="17"/>
  <c r="N312" i="17" s="1"/>
  <c r="J312" i="17"/>
  <c r="O312" i="17" s="1"/>
  <c r="K312" i="17"/>
  <c r="L312" i="17"/>
  <c r="I313" i="17"/>
  <c r="J313" i="17"/>
  <c r="O313" i="17" s="1"/>
  <c r="K313" i="17"/>
  <c r="L313" i="17"/>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I322" i="17"/>
  <c r="N322" i="17" s="1"/>
  <c r="J322" i="17"/>
  <c r="O322" i="17" s="1"/>
  <c r="K322" i="17"/>
  <c r="L322" i="17"/>
  <c r="I323" i="17"/>
  <c r="N323" i="17" s="1"/>
  <c r="J323" i="17"/>
  <c r="O323" i="17" s="1"/>
  <c r="K323" i="17"/>
  <c r="L323" i="17"/>
  <c r="M323" i="17" s="1"/>
  <c r="I324" i="17"/>
  <c r="N324" i="17" s="1"/>
  <c r="J324" i="17"/>
  <c r="O324" i="17" s="1"/>
  <c r="K324" i="17"/>
  <c r="L324" i="17"/>
  <c r="I325" i="17"/>
  <c r="N325" i="17" s="1"/>
  <c r="J325" i="17"/>
  <c r="O325" i="17" s="1"/>
  <c r="K325" i="17"/>
  <c r="L325" i="17"/>
  <c r="I326" i="17"/>
  <c r="N326" i="17" s="1"/>
  <c r="J326" i="17"/>
  <c r="O326" i="17" s="1"/>
  <c r="K326" i="17"/>
  <c r="L326" i="17"/>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I337" i="17"/>
  <c r="N337" i="17" s="1"/>
  <c r="J337" i="17"/>
  <c r="O337" i="17" s="1"/>
  <c r="K337" i="17"/>
  <c r="L337" i="17"/>
  <c r="M337" i="17" s="1"/>
  <c r="I338" i="17"/>
  <c r="J338" i="17"/>
  <c r="O338" i="17" s="1"/>
  <c r="K338" i="17"/>
  <c r="L338" i="17"/>
  <c r="M338" i="17" s="1"/>
  <c r="I339" i="17"/>
  <c r="J339" i="17"/>
  <c r="O339" i="17" s="1"/>
  <c r="K339" i="17"/>
  <c r="L339" i="17"/>
  <c r="M339" i="17" s="1"/>
  <c r="I340" i="17"/>
  <c r="J340" i="17"/>
  <c r="O340" i="17" s="1"/>
  <c r="K340" i="17"/>
  <c r="L340" i="17"/>
  <c r="I341" i="17"/>
  <c r="N341" i="17" s="1"/>
  <c r="J341" i="17"/>
  <c r="O341" i="17" s="1"/>
  <c r="K341" i="17"/>
  <c r="L341" i="17"/>
  <c r="I342" i="17"/>
  <c r="N342" i="17" s="1"/>
  <c r="J342" i="17"/>
  <c r="O342" i="17" s="1"/>
  <c r="K342" i="17"/>
  <c r="L342" i="17"/>
  <c r="M342" i="17" s="1"/>
  <c r="I343" i="17"/>
  <c r="N343" i="17" s="1"/>
  <c r="J343" i="17"/>
  <c r="O343" i="17" s="1"/>
  <c r="K343" i="17"/>
  <c r="L343" i="17"/>
  <c r="M343" i="17" s="1"/>
  <c r="I344" i="17"/>
  <c r="N344" i="17" s="1"/>
  <c r="J344" i="17"/>
  <c r="O344" i="17" s="1"/>
  <c r="K344" i="17"/>
  <c r="L344" i="17"/>
  <c r="I345" i="17"/>
  <c r="J345" i="17"/>
  <c r="K345" i="17"/>
  <c r="L345" i="17"/>
  <c r="I346" i="17"/>
  <c r="N346" i="17" s="1"/>
  <c r="J346" i="17"/>
  <c r="K346" i="17"/>
  <c r="L346" i="17"/>
  <c r="I347" i="17"/>
  <c r="N347" i="17" s="1"/>
  <c r="J347" i="17"/>
  <c r="K347" i="17"/>
  <c r="L347" i="17"/>
  <c r="I348" i="17"/>
  <c r="N348" i="17" s="1"/>
  <c r="J348" i="17"/>
  <c r="O348" i="17" s="1"/>
  <c r="K348" i="17"/>
  <c r="L348" i="17"/>
  <c r="I349" i="17"/>
  <c r="N349" i="17" s="1"/>
  <c r="J349" i="17"/>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I361" i="17"/>
  <c r="J361" i="17"/>
  <c r="O361" i="17" s="1"/>
  <c r="K361" i="17"/>
  <c r="L361" i="17"/>
  <c r="I362" i="17"/>
  <c r="N362" i="17" s="1"/>
  <c r="J362" i="17"/>
  <c r="O362" i="17" s="1"/>
  <c r="K362" i="17"/>
  <c r="L362" i="17"/>
  <c r="M362" i="17" s="1"/>
  <c r="I363" i="17"/>
  <c r="N363" i="17" s="1"/>
  <c r="J363" i="17"/>
  <c r="O363" i="17" s="1"/>
  <c r="K363" i="17"/>
  <c r="L363" i="17"/>
  <c r="M363" i="17" s="1"/>
  <c r="I364" i="17"/>
  <c r="N364" i="17" s="1"/>
  <c r="J364" i="17"/>
  <c r="O364" i="17" s="1"/>
  <c r="K364" i="17"/>
  <c r="L364" i="17"/>
  <c r="I365" i="17"/>
  <c r="N365" i="17" s="1"/>
  <c r="J365" i="17"/>
  <c r="O365" i="17" s="1"/>
  <c r="K365" i="17"/>
  <c r="L365" i="17"/>
  <c r="I366" i="17"/>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J370" i="17"/>
  <c r="O370" i="17" s="1"/>
  <c r="K370" i="17"/>
  <c r="L370" i="17"/>
  <c r="I371" i="17"/>
  <c r="N371" i="17" s="1"/>
  <c r="J371" i="17"/>
  <c r="O371" i="17" s="1"/>
  <c r="K371" i="17"/>
  <c r="L371" i="17"/>
  <c r="M371" i="17" s="1"/>
  <c r="I372" i="17"/>
  <c r="N372" i="17" s="1"/>
  <c r="J372" i="17"/>
  <c r="O372" i="17" s="1"/>
  <c r="K372" i="17"/>
  <c r="L372" i="17"/>
  <c r="M372" i="17" s="1"/>
  <c r="I373" i="17"/>
  <c r="N373" i="17" s="1"/>
  <c r="J373" i="17"/>
  <c r="O373" i="17" s="1"/>
  <c r="K373" i="17"/>
  <c r="L373" i="17"/>
  <c r="I374" i="17"/>
  <c r="J374" i="17"/>
  <c r="O374" i="17" s="1"/>
  <c r="K374" i="17"/>
  <c r="L374" i="17"/>
  <c r="I375" i="17"/>
  <c r="J375" i="17"/>
  <c r="O375" i="17" s="1"/>
  <c r="K375" i="17"/>
  <c r="L375" i="17"/>
  <c r="I376" i="17"/>
  <c r="N376" i="17" s="1"/>
  <c r="J376" i="17"/>
  <c r="O376" i="17" s="1"/>
  <c r="K376" i="17"/>
  <c r="L376" i="17"/>
  <c r="I377" i="17"/>
  <c r="N377" i="17" s="1"/>
  <c r="J377" i="17"/>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I393" i="17"/>
  <c r="J393" i="17"/>
  <c r="O393" i="17" s="1"/>
  <c r="K393" i="17"/>
  <c r="L393" i="17"/>
  <c r="I394" i="17"/>
  <c r="J394" i="17"/>
  <c r="O394" i="17" s="1"/>
  <c r="K394" i="17"/>
  <c r="L394" i="17"/>
  <c r="I395" i="17"/>
  <c r="N395" i="17" s="1"/>
  <c r="J395" i="17"/>
  <c r="O395" i="17" s="1"/>
  <c r="K395" i="17"/>
  <c r="L395" i="17"/>
  <c r="M395" i="17" s="1"/>
  <c r="I396" i="17"/>
  <c r="N396" i="17" s="1"/>
  <c r="J396" i="17"/>
  <c r="O396" i="17" s="1"/>
  <c r="K396" i="17"/>
  <c r="L396" i="17"/>
  <c r="I397" i="17"/>
  <c r="J397" i="17"/>
  <c r="K397" i="17"/>
  <c r="L397" i="17"/>
  <c r="I398" i="17"/>
  <c r="N398" i="17" s="1"/>
  <c r="J398" i="17"/>
  <c r="O398" i="17" s="1"/>
  <c r="K398" i="17"/>
  <c r="L398" i="17"/>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I409" i="17"/>
  <c r="N409" i="17" s="1"/>
  <c r="J409" i="17"/>
  <c r="O409" i="17" s="1"/>
  <c r="K409" i="17"/>
  <c r="L409" i="17"/>
  <c r="I410" i="17"/>
  <c r="J410" i="17"/>
  <c r="O410" i="17" s="1"/>
  <c r="K410" i="17"/>
  <c r="L410" i="17"/>
  <c r="M410" i="17" s="1"/>
  <c r="I411" i="17"/>
  <c r="N411" i="17" s="1"/>
  <c r="J411" i="17"/>
  <c r="O411" i="17" s="1"/>
  <c r="K411" i="17"/>
  <c r="L411" i="17"/>
  <c r="M411" i="17" s="1"/>
  <c r="I412" i="17"/>
  <c r="N412" i="17" s="1"/>
  <c r="J412" i="17"/>
  <c r="O412" i="17" s="1"/>
  <c r="K412" i="17"/>
  <c r="L412" i="17"/>
  <c r="I413" i="17"/>
  <c r="N413" i="17" s="1"/>
  <c r="J413" i="17"/>
  <c r="O413" i="17" s="1"/>
  <c r="K413" i="17"/>
  <c r="L413" i="17"/>
  <c r="I414" i="17"/>
  <c r="N414" i="17" s="1"/>
  <c r="J414" i="17"/>
  <c r="O414" i="17" s="1"/>
  <c r="K414" i="17"/>
  <c r="L414" i="17"/>
  <c r="M414" i="17" s="1"/>
  <c r="I415" i="17"/>
  <c r="N415" i="17" s="1"/>
  <c r="J415" i="17"/>
  <c r="O415" i="17" s="1"/>
  <c r="K415" i="17"/>
  <c r="L415" i="17"/>
  <c r="M415" i="17" s="1"/>
  <c r="I416" i="17"/>
  <c r="N416" i="17" s="1"/>
  <c r="J416" i="17"/>
  <c r="O416" i="17" s="1"/>
  <c r="K416" i="17"/>
  <c r="L416" i="17"/>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J421" i="17"/>
  <c r="K421" i="17"/>
  <c r="L421" i="17"/>
  <c r="M421" i="17" s="1"/>
  <c r="I422" i="17"/>
  <c r="N422" i="17" s="1"/>
  <c r="J422" i="17"/>
  <c r="O422" i="17" s="1"/>
  <c r="K422" i="17"/>
  <c r="L422" i="17"/>
  <c r="I423" i="17"/>
  <c r="N423" i="17" s="1"/>
  <c r="J423" i="17"/>
  <c r="O423" i="17" s="1"/>
  <c r="K423" i="17"/>
  <c r="L423" i="17"/>
  <c r="I424" i="17"/>
  <c r="N424" i="17" s="1"/>
  <c r="J424" i="17"/>
  <c r="O424" i="17" s="1"/>
  <c r="K424" i="17"/>
  <c r="L424" i="17"/>
  <c r="I425" i="17"/>
  <c r="N425" i="17" s="1"/>
  <c r="J425" i="17"/>
  <c r="O425" i="17" s="1"/>
  <c r="K425" i="17"/>
  <c r="L425" i="17"/>
  <c r="M425" i="17" s="1"/>
  <c r="I426" i="17"/>
  <c r="N426" i="17" s="1"/>
  <c r="J426" i="17"/>
  <c r="O426" i="17" s="1"/>
  <c r="K426" i="17"/>
  <c r="L426" i="17"/>
  <c r="M426" i="17" s="1"/>
  <c r="I427" i="17"/>
  <c r="N427" i="17" s="1"/>
  <c r="J427" i="17"/>
  <c r="K427" i="17"/>
  <c r="L427" i="17"/>
  <c r="M427" i="17" s="1"/>
  <c r="I428" i="17"/>
  <c r="N428" i="17" s="1"/>
  <c r="J428" i="17"/>
  <c r="O428" i="17" s="1"/>
  <c r="K428" i="17"/>
  <c r="L428" i="17"/>
  <c r="M428" i="17" s="1"/>
  <c r="I429" i="17"/>
  <c r="N429" i="17" s="1"/>
  <c r="J429" i="17"/>
  <c r="O429" i="17" s="1"/>
  <c r="K429" i="17"/>
  <c r="L429" i="17"/>
  <c r="M429" i="17" s="1"/>
  <c r="I430" i="17"/>
  <c r="J430" i="17"/>
  <c r="O430" i="17" s="1"/>
  <c r="K430" i="17"/>
  <c r="L430" i="17"/>
  <c r="M430" i="17" s="1"/>
  <c r="I431" i="17"/>
  <c r="J431" i="17"/>
  <c r="K431" i="17"/>
  <c r="L431" i="17"/>
  <c r="M431" i="17" s="1"/>
  <c r="I432" i="17"/>
  <c r="N432" i="17" s="1"/>
  <c r="J432" i="17"/>
  <c r="O432" i="17" s="1"/>
  <c r="K432" i="17"/>
  <c r="L432" i="17"/>
  <c r="I433" i="17"/>
  <c r="J433" i="17"/>
  <c r="K433" i="17"/>
  <c r="L433" i="17"/>
  <c r="I434" i="17"/>
  <c r="J434" i="17"/>
  <c r="O434" i="17" s="1"/>
  <c r="K434" i="17"/>
  <c r="L434" i="17"/>
  <c r="M434" i="17" s="1"/>
  <c r="I435" i="17"/>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I441" i="17"/>
  <c r="N441" i="17" s="1"/>
  <c r="J441" i="17"/>
  <c r="O441" i="17" s="1"/>
  <c r="K441" i="17"/>
  <c r="L441" i="17"/>
  <c r="I442" i="17"/>
  <c r="N442" i="17" s="1"/>
  <c r="J442" i="17"/>
  <c r="O442" i="17" s="1"/>
  <c r="K442" i="17"/>
  <c r="L442" i="17"/>
  <c r="I443" i="17"/>
  <c r="N443" i="17" s="1"/>
  <c r="J443" i="17"/>
  <c r="O443" i="17" s="1"/>
  <c r="K443" i="17"/>
  <c r="L443" i="17"/>
  <c r="I444" i="17"/>
  <c r="N444" i="17" s="1"/>
  <c r="J444" i="17"/>
  <c r="O444" i="17" s="1"/>
  <c r="K444" i="17"/>
  <c r="L444" i="17"/>
  <c r="I445" i="17"/>
  <c r="N445" i="17" s="1"/>
  <c r="J445" i="17"/>
  <c r="O445" i="17" s="1"/>
  <c r="K445" i="17"/>
  <c r="L445" i="17"/>
  <c r="I446" i="17"/>
  <c r="N446" i="17" s="1"/>
  <c r="J446" i="17"/>
  <c r="O446" i="17" s="1"/>
  <c r="K446" i="17"/>
  <c r="L446" i="17"/>
  <c r="M446" i="17" s="1"/>
  <c r="I447" i="17"/>
  <c r="N447" i="17" s="1"/>
  <c r="J447" i="17"/>
  <c r="O447" i="17" s="1"/>
  <c r="K447" i="17"/>
  <c r="L447" i="17"/>
  <c r="M447" i="17" s="1"/>
  <c r="I448" i="17"/>
  <c r="N448" i="17" s="1"/>
  <c r="J448" i="17"/>
  <c r="O448" i="17" s="1"/>
  <c r="K448" i="17"/>
  <c r="L448" i="17"/>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I457" i="17"/>
  <c r="J457" i="17"/>
  <c r="O457" i="17" s="1"/>
  <c r="K457" i="17"/>
  <c r="L457" i="17"/>
  <c r="I458" i="17"/>
  <c r="N458" i="17" s="1"/>
  <c r="J458" i="17"/>
  <c r="O458" i="17" s="1"/>
  <c r="K458" i="17"/>
  <c r="L458" i="17"/>
  <c r="M458" i="17" s="1"/>
  <c r="I459" i="17"/>
  <c r="N459" i="17" s="1"/>
  <c r="J459" i="17"/>
  <c r="O459" i="17" s="1"/>
  <c r="K459" i="17"/>
  <c r="L459" i="17"/>
  <c r="M459" i="17" s="1"/>
  <c r="I460" i="17"/>
  <c r="N460" i="17" s="1"/>
  <c r="J460" i="17"/>
  <c r="O460" i="17" s="1"/>
  <c r="K460" i="17"/>
  <c r="L460" i="17"/>
  <c r="I461" i="17"/>
  <c r="J461" i="17"/>
  <c r="O461" i="17" s="1"/>
  <c r="K461" i="17"/>
  <c r="L461" i="17"/>
  <c r="I462" i="17"/>
  <c r="J462" i="17"/>
  <c r="O462" i="17" s="1"/>
  <c r="K462" i="17"/>
  <c r="L462" i="17"/>
  <c r="I463" i="17"/>
  <c r="N463" i="17" s="1"/>
  <c r="J463" i="17"/>
  <c r="O463" i="17" s="1"/>
  <c r="K463" i="17"/>
  <c r="L463" i="17"/>
  <c r="M463" i="17" s="1"/>
  <c r="I464" i="17"/>
  <c r="N464" i="17" s="1"/>
  <c r="J464" i="17"/>
  <c r="O464" i="17" s="1"/>
  <c r="K464" i="17"/>
  <c r="L464" i="17"/>
  <c r="I465" i="17"/>
  <c r="J465" i="17"/>
  <c r="O465" i="17" s="1"/>
  <c r="K465" i="17"/>
  <c r="L465" i="17"/>
  <c r="I466" i="17"/>
  <c r="J466" i="17"/>
  <c r="O466" i="17" s="1"/>
  <c r="K466" i="17"/>
  <c r="L466" i="17"/>
  <c r="I467" i="17"/>
  <c r="N467" i="17" s="1"/>
  <c r="J467" i="17"/>
  <c r="O467" i="17" s="1"/>
  <c r="K467" i="17"/>
  <c r="L467" i="17"/>
  <c r="M467" i="17" s="1"/>
  <c r="I468" i="17"/>
  <c r="N468" i="17" s="1"/>
  <c r="J468" i="17"/>
  <c r="O468" i="17" s="1"/>
  <c r="K468" i="17"/>
  <c r="L468" i="17"/>
  <c r="M468" i="17" s="1"/>
  <c r="I469" i="17"/>
  <c r="N469" i="17" s="1"/>
  <c r="J469" i="17"/>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I477" i="17"/>
  <c r="N477" i="17" s="1"/>
  <c r="J477" i="17"/>
  <c r="O477" i="17" s="1"/>
  <c r="K477" i="17"/>
  <c r="L477" i="17"/>
  <c r="I478" i="17"/>
  <c r="N478" i="17" s="1"/>
  <c r="J478" i="17"/>
  <c r="O478" i="17" s="1"/>
  <c r="K478" i="17"/>
  <c r="L478" i="17"/>
  <c r="M478" i="17" s="1"/>
  <c r="I479" i="17"/>
  <c r="J479" i="17"/>
  <c r="O479" i="17" s="1"/>
  <c r="K479" i="17"/>
  <c r="L479" i="17"/>
  <c r="M479" i="17" s="1"/>
  <c r="I480" i="17"/>
  <c r="N480" i="17" s="1"/>
  <c r="J480" i="17"/>
  <c r="O480" i="17" s="1"/>
  <c r="K480" i="17"/>
  <c r="L480" i="17"/>
  <c r="I481" i="17"/>
  <c r="J481" i="17"/>
  <c r="O481" i="17" s="1"/>
  <c r="K481" i="17"/>
  <c r="L481" i="17"/>
  <c r="I482" i="17"/>
  <c r="J482" i="17"/>
  <c r="O482" i="17" s="1"/>
  <c r="K482" i="17"/>
  <c r="L482" i="17"/>
  <c r="M482" i="17" s="1"/>
  <c r="I483" i="17"/>
  <c r="N483" i="17" s="1"/>
  <c r="J483" i="17"/>
  <c r="O483" i="17" s="1"/>
  <c r="K483" i="17"/>
  <c r="L483" i="17"/>
  <c r="M483" i="17" s="1"/>
  <c r="I484" i="17"/>
  <c r="J484" i="17"/>
  <c r="O484" i="17" s="1"/>
  <c r="K484" i="17"/>
  <c r="L484" i="17"/>
  <c r="I485" i="17"/>
  <c r="N485" i="17" s="1"/>
  <c r="J485" i="17"/>
  <c r="O485" i="17" s="1"/>
  <c r="K485" i="17"/>
  <c r="L485" i="17"/>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I491" i="17"/>
  <c r="N491" i="17" s="1"/>
  <c r="J491" i="17"/>
  <c r="O491" i="17" s="1"/>
  <c r="K491" i="17"/>
  <c r="L491" i="17"/>
  <c r="I492" i="17"/>
  <c r="N492" i="17" s="1"/>
  <c r="J492" i="17"/>
  <c r="O492" i="17" s="1"/>
  <c r="K492" i="17"/>
  <c r="L492" i="17"/>
  <c r="I493" i="17"/>
  <c r="J493" i="17"/>
  <c r="K493" i="17"/>
  <c r="L493" i="17"/>
  <c r="M493" i="17" s="1"/>
  <c r="I494" i="17"/>
  <c r="N494" i="17" s="1"/>
  <c r="J494" i="17"/>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I501" i="17"/>
  <c r="N501" i="17" s="1"/>
  <c r="J501" i="17"/>
  <c r="K501" i="17"/>
  <c r="L501" i="17"/>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J506" i="17"/>
  <c r="O506" i="17" s="1"/>
  <c r="K506" i="17"/>
  <c r="L506" i="17"/>
  <c r="M506" i="17" s="1"/>
  <c r="I507" i="17"/>
  <c r="N507" i="17" s="1"/>
  <c r="J507" i="17"/>
  <c r="K507" i="17"/>
  <c r="L507" i="17"/>
  <c r="M507" i="17" s="1"/>
  <c r="I508" i="17"/>
  <c r="N508" i="17" s="1"/>
  <c r="J508" i="17"/>
  <c r="O508" i="17" s="1"/>
  <c r="K508" i="17"/>
  <c r="L508" i="17"/>
  <c r="I509" i="17"/>
  <c r="N509" i="17" s="1"/>
  <c r="J509" i="17"/>
  <c r="K509" i="17"/>
  <c r="L509" i="17"/>
  <c r="I510" i="17"/>
  <c r="J510" i="17"/>
  <c r="K510" i="17"/>
  <c r="L510" i="17"/>
  <c r="I511" i="17"/>
  <c r="N511" i="17" s="1"/>
  <c r="J511" i="17"/>
  <c r="O511" i="17" s="1"/>
  <c r="K511" i="17"/>
  <c r="L511" i="17"/>
  <c r="I512" i="17"/>
  <c r="N512" i="17" s="1"/>
  <c r="J512" i="17"/>
  <c r="O512" i="17" s="1"/>
  <c r="K512" i="17"/>
  <c r="L512" i="17"/>
  <c r="I513" i="17"/>
  <c r="J513" i="17"/>
  <c r="O513" i="17" s="1"/>
  <c r="K513" i="17"/>
  <c r="L513" i="17"/>
  <c r="I514" i="17"/>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J518" i="17"/>
  <c r="O518" i="17" s="1"/>
  <c r="K518" i="17"/>
  <c r="L518" i="17"/>
  <c r="M518" i="17" s="1"/>
  <c r="I519" i="17"/>
  <c r="J519" i="17"/>
  <c r="O519" i="17" s="1"/>
  <c r="K519" i="17"/>
  <c r="L519" i="17"/>
  <c r="M519" i="17" s="1"/>
  <c r="I520" i="17"/>
  <c r="N520" i="17" s="1"/>
  <c r="J520" i="17"/>
  <c r="O520" i="17" s="1"/>
  <c r="K520" i="17"/>
  <c r="L520" i="17"/>
  <c r="M520" i="17" s="1"/>
  <c r="I521" i="17"/>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I525" i="17"/>
  <c r="N525" i="17" s="1"/>
  <c r="J525" i="17"/>
  <c r="O525" i="17" s="1"/>
  <c r="K525" i="17"/>
  <c r="L525" i="17"/>
  <c r="I526" i="17"/>
  <c r="N526" i="17" s="1"/>
  <c r="J526" i="17"/>
  <c r="O526" i="17" s="1"/>
  <c r="K526" i="17"/>
  <c r="L526" i="17"/>
  <c r="M526" i="17" s="1"/>
  <c r="I527" i="17"/>
  <c r="N527" i="17" s="1"/>
  <c r="J527" i="17"/>
  <c r="O527" i="17" s="1"/>
  <c r="K527" i="17"/>
  <c r="L527" i="17"/>
  <c r="M527" i="17" s="1"/>
  <c r="I528" i="17"/>
  <c r="N528" i="17" s="1"/>
  <c r="J528" i="17"/>
  <c r="O528" i="17" s="1"/>
  <c r="K528" i="17"/>
  <c r="L528" i="17"/>
  <c r="I529" i="17"/>
  <c r="N529" i="17" s="1"/>
  <c r="J529" i="17"/>
  <c r="O529" i="17" s="1"/>
  <c r="K529" i="17"/>
  <c r="L529" i="17"/>
  <c r="I530" i="17"/>
  <c r="N530" i="17" s="1"/>
  <c r="J530" i="17"/>
  <c r="O530" i="17" s="1"/>
  <c r="K530" i="17"/>
  <c r="L530" i="17"/>
  <c r="I531" i="17"/>
  <c r="N531" i="17" s="1"/>
  <c r="J531" i="17"/>
  <c r="O531" i="17" s="1"/>
  <c r="K531" i="17"/>
  <c r="L531" i="17"/>
  <c r="M531" i="17" s="1"/>
  <c r="I532" i="17"/>
  <c r="N532" i="17" s="1"/>
  <c r="J532" i="17"/>
  <c r="O532" i="17" s="1"/>
  <c r="K532" i="17"/>
  <c r="L532" i="17"/>
  <c r="I533" i="17"/>
  <c r="J533" i="17"/>
  <c r="O533" i="17" s="1"/>
  <c r="K533" i="17"/>
  <c r="L533" i="17"/>
  <c r="I534" i="17"/>
  <c r="N534" i="17" s="1"/>
  <c r="J534" i="17"/>
  <c r="O534" i="17" s="1"/>
  <c r="K534" i="17"/>
  <c r="L534" i="17"/>
  <c r="I535" i="17"/>
  <c r="N535" i="17" s="1"/>
  <c r="J535" i="17"/>
  <c r="O535" i="17" s="1"/>
  <c r="K535" i="17"/>
  <c r="L535" i="17"/>
  <c r="I536" i="17"/>
  <c r="N536" i="17" s="1"/>
  <c r="J536" i="17"/>
  <c r="O536" i="17" s="1"/>
  <c r="K536" i="17"/>
  <c r="L536" i="17"/>
  <c r="M536" i="17" s="1"/>
  <c r="I537" i="17"/>
  <c r="N537" i="17" s="1"/>
  <c r="J537" i="17"/>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I545" i="17"/>
  <c r="J545" i="17"/>
  <c r="K545" i="17"/>
  <c r="L545" i="17"/>
  <c r="I546" i="17"/>
  <c r="J546" i="17"/>
  <c r="O546" i="17" s="1"/>
  <c r="K546" i="17"/>
  <c r="L546" i="17"/>
  <c r="M546" i="17" s="1"/>
  <c r="I547" i="17"/>
  <c r="N547" i="17" s="1"/>
  <c r="J547" i="17"/>
  <c r="O547" i="17" s="1"/>
  <c r="K547" i="17"/>
  <c r="L547" i="17"/>
  <c r="M547" i="17" s="1"/>
  <c r="I548" i="17"/>
  <c r="N548" i="17" s="1"/>
  <c r="J548" i="17"/>
  <c r="O548" i="17" s="1"/>
  <c r="K548" i="17"/>
  <c r="L548" i="17"/>
  <c r="I549" i="17"/>
  <c r="N549" i="17" s="1"/>
  <c r="J549" i="17"/>
  <c r="O549" i="17" s="1"/>
  <c r="K549" i="17"/>
  <c r="L549" i="17"/>
  <c r="I550" i="17"/>
  <c r="N550" i="17" s="1"/>
  <c r="J550" i="17"/>
  <c r="O550" i="17" s="1"/>
  <c r="K550" i="17"/>
  <c r="L550" i="17"/>
  <c r="M550" i="17" s="1"/>
  <c r="I551" i="17"/>
  <c r="N551" i="17" s="1"/>
  <c r="J551" i="17"/>
  <c r="O551" i="17" s="1"/>
  <c r="K551" i="17"/>
  <c r="L551" i="17"/>
  <c r="M551" i="17" s="1"/>
  <c r="I552" i="17"/>
  <c r="N552" i="17" s="1"/>
  <c r="J552" i="17"/>
  <c r="O552" i="17" s="1"/>
  <c r="K552" i="17"/>
  <c r="L552" i="17"/>
  <c r="I553" i="17"/>
  <c r="N553" i="17" s="1"/>
  <c r="J553" i="17"/>
  <c r="O553" i="17" s="1"/>
  <c r="K553" i="17"/>
  <c r="L553" i="17"/>
  <c r="I554" i="17"/>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I559" i="17"/>
  <c r="N559" i="17" s="1"/>
  <c r="J559" i="17"/>
  <c r="O559" i="17" s="1"/>
  <c r="K559" i="17"/>
  <c r="L559" i="17"/>
  <c r="I560" i="17"/>
  <c r="N560" i="17" s="1"/>
  <c r="J560" i="17"/>
  <c r="O560" i="17" s="1"/>
  <c r="K560" i="17"/>
  <c r="L560" i="17"/>
  <c r="I561" i="17"/>
  <c r="N561" i="17" s="1"/>
  <c r="J561" i="17"/>
  <c r="O561" i="17" s="1"/>
  <c r="K561" i="17"/>
  <c r="L561" i="17"/>
  <c r="M561" i="17" s="1"/>
  <c r="I562" i="17"/>
  <c r="J562" i="17"/>
  <c r="O562" i="17" s="1"/>
  <c r="K562" i="17"/>
  <c r="L562" i="17"/>
  <c r="M562" i="17" s="1"/>
  <c r="I563" i="17"/>
  <c r="J563" i="17"/>
  <c r="O563" i="17" s="1"/>
  <c r="K563" i="17"/>
  <c r="L563" i="17"/>
  <c r="M563" i="17" s="1"/>
  <c r="I564" i="17"/>
  <c r="N564" i="17" s="1"/>
  <c r="J564" i="17"/>
  <c r="O564" i="17" s="1"/>
  <c r="K564" i="17"/>
  <c r="L564" i="17"/>
  <c r="I565" i="17"/>
  <c r="J565" i="17"/>
  <c r="O565" i="17" s="1"/>
  <c r="K565" i="17"/>
  <c r="L565" i="17"/>
  <c r="M565" i="17" s="1"/>
  <c r="I566" i="17"/>
  <c r="J566" i="17"/>
  <c r="O566" i="17" s="1"/>
  <c r="K566" i="17"/>
  <c r="L566" i="17"/>
  <c r="M566" i="17" s="1"/>
  <c r="I567" i="17"/>
  <c r="N567" i="17" s="1"/>
  <c r="J567" i="17"/>
  <c r="O567" i="17" s="1"/>
  <c r="K567" i="17"/>
  <c r="L567" i="17"/>
  <c r="M567" i="17" s="1"/>
  <c r="I568" i="17"/>
  <c r="N568" i="17" s="1"/>
  <c r="J568" i="17"/>
  <c r="O568" i="17" s="1"/>
  <c r="K568" i="17"/>
  <c r="L568" i="17"/>
  <c r="I569" i="17"/>
  <c r="J569" i="17"/>
  <c r="K569" i="17"/>
  <c r="L569" i="17"/>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K573" i="17"/>
  <c r="L573" i="17"/>
  <c r="M573" i="17" s="1"/>
  <c r="I574" i="17"/>
  <c r="N574" i="17" s="1"/>
  <c r="J574" i="17"/>
  <c r="O574" i="17" s="1"/>
  <c r="K574" i="17"/>
  <c r="L574" i="17"/>
  <c r="M574" i="17" s="1"/>
  <c r="I575" i="17"/>
  <c r="N575" i="17" s="1"/>
  <c r="J575" i="17"/>
  <c r="K575" i="17"/>
  <c r="L575" i="17"/>
  <c r="M575" i="17" s="1"/>
  <c r="I576" i="17"/>
  <c r="N576" i="17" s="1"/>
  <c r="J576" i="17"/>
  <c r="K576" i="17"/>
  <c r="L576" i="17"/>
  <c r="I577" i="17"/>
  <c r="N577" i="17" s="1"/>
  <c r="J577" i="17"/>
  <c r="O577" i="17" s="1"/>
  <c r="K577" i="17"/>
  <c r="L577" i="17"/>
  <c r="I578" i="17"/>
  <c r="N578" i="17" s="1"/>
  <c r="J578" i="17"/>
  <c r="O578" i="17" s="1"/>
  <c r="K578" i="17"/>
  <c r="L578" i="17"/>
  <c r="I579" i="17"/>
  <c r="N579" i="17" s="1"/>
  <c r="J579" i="17"/>
  <c r="O579" i="17" s="1"/>
  <c r="K579" i="17"/>
  <c r="L579" i="17"/>
  <c r="I580" i="17"/>
  <c r="N580" i="17" s="1"/>
  <c r="J580" i="17"/>
  <c r="O580" i="17" s="1"/>
  <c r="K580" i="17"/>
  <c r="L580" i="17"/>
  <c r="I581" i="17"/>
  <c r="N581" i="17" s="1"/>
  <c r="J581" i="17"/>
  <c r="O581" i="17" s="1"/>
  <c r="K581" i="17"/>
  <c r="L581" i="17"/>
  <c r="I582" i="17"/>
  <c r="N582" i="17" s="1"/>
  <c r="J582" i="17"/>
  <c r="O582" i="17" s="1"/>
  <c r="K582" i="17"/>
  <c r="L582" i="17"/>
  <c r="M582" i="17" s="1"/>
  <c r="I583" i="17"/>
  <c r="N583" i="17" s="1"/>
  <c r="J583" i="17"/>
  <c r="O583" i="17" s="1"/>
  <c r="K583" i="17"/>
  <c r="L583" i="17"/>
  <c r="M583" i="17" s="1"/>
  <c r="I584" i="17"/>
  <c r="N584" i="17" s="1"/>
  <c r="J584" i="17"/>
  <c r="O584" i="17" s="1"/>
  <c r="K584" i="17"/>
  <c r="L584" i="17"/>
  <c r="I585" i="17"/>
  <c r="J585" i="17"/>
  <c r="O585" i="17" s="1"/>
  <c r="K585" i="17"/>
  <c r="L585" i="17"/>
  <c r="M585" i="17" s="1"/>
  <c r="I586" i="17"/>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J590" i="17"/>
  <c r="O590" i="17" s="1"/>
  <c r="K590" i="17"/>
  <c r="L590" i="17"/>
  <c r="M590" i="17" s="1"/>
  <c r="I591" i="17"/>
  <c r="N591" i="17" s="1"/>
  <c r="J591" i="17"/>
  <c r="O591" i="17" s="1"/>
  <c r="K591" i="17"/>
  <c r="L591" i="17"/>
  <c r="M591" i="17" s="1"/>
  <c r="I592" i="17"/>
  <c r="N592" i="17" s="1"/>
  <c r="J592" i="17"/>
  <c r="O592" i="17" s="1"/>
  <c r="K592" i="17"/>
  <c r="L592" i="17"/>
  <c r="I593" i="17"/>
  <c r="J593" i="17"/>
  <c r="O593" i="17" s="1"/>
  <c r="K593" i="17"/>
  <c r="L593" i="17"/>
  <c r="I594" i="17"/>
  <c r="N594" i="17" s="1"/>
  <c r="J594" i="17"/>
  <c r="O594" i="17" s="1"/>
  <c r="K594" i="17"/>
  <c r="L594" i="17"/>
  <c r="M594" i="17" s="1"/>
  <c r="I595" i="17"/>
  <c r="J595" i="17"/>
  <c r="O595" i="17" s="1"/>
  <c r="K595" i="17"/>
  <c r="L595" i="17"/>
  <c r="M595" i="17" s="1"/>
  <c r="I596" i="17"/>
  <c r="N596" i="17" s="1"/>
  <c r="J596" i="17"/>
  <c r="O596" i="17" s="1"/>
  <c r="K596" i="17"/>
  <c r="L596" i="17"/>
  <c r="I597" i="17"/>
  <c r="N597" i="17" s="1"/>
  <c r="J597" i="17"/>
  <c r="O597" i="17" s="1"/>
  <c r="K597" i="17"/>
  <c r="L597" i="17"/>
  <c r="I598" i="17"/>
  <c r="N598" i="17" s="1"/>
  <c r="J598" i="17"/>
  <c r="O598" i="17" s="1"/>
  <c r="K598" i="17"/>
  <c r="L598" i="17"/>
  <c r="I599" i="17"/>
  <c r="N599" i="17" s="1"/>
  <c r="J599" i="17"/>
  <c r="O599" i="17" s="1"/>
  <c r="K599" i="17"/>
  <c r="L599" i="17"/>
  <c r="I600" i="17"/>
  <c r="N600" i="17" s="1"/>
  <c r="J600" i="17"/>
  <c r="O600" i="17" s="1"/>
  <c r="K600" i="17"/>
  <c r="L600" i="17"/>
  <c r="I601" i="17"/>
  <c r="N601" i="17" s="1"/>
  <c r="J601" i="17"/>
  <c r="O601" i="17" s="1"/>
  <c r="K601" i="17"/>
  <c r="L601" i="17"/>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I609" i="17"/>
  <c r="J609" i="17"/>
  <c r="K609" i="17"/>
  <c r="L609" i="17"/>
  <c r="M609" i="17" s="1"/>
  <c r="I610" i="17"/>
  <c r="J610" i="17"/>
  <c r="O610" i="17" s="1"/>
  <c r="K610" i="17"/>
  <c r="L610" i="17"/>
  <c r="M610" i="17" s="1"/>
  <c r="I611" i="17"/>
  <c r="N611" i="17" s="1"/>
  <c r="J611" i="17"/>
  <c r="O611" i="17" s="1"/>
  <c r="K611" i="17"/>
  <c r="L611" i="17"/>
  <c r="M611" i="17" s="1"/>
  <c r="I612" i="17"/>
  <c r="N612" i="17" s="1"/>
  <c r="J612" i="17"/>
  <c r="O612" i="17" s="1"/>
  <c r="K612" i="17"/>
  <c r="L612" i="17"/>
  <c r="I613" i="17"/>
  <c r="N613" i="17" s="1"/>
  <c r="J613" i="17"/>
  <c r="O613" i="17" s="1"/>
  <c r="K613" i="17"/>
  <c r="L613" i="17"/>
  <c r="I614" i="17"/>
  <c r="N614" i="17" s="1"/>
  <c r="J614" i="17"/>
  <c r="O614" i="17" s="1"/>
  <c r="K614" i="17"/>
  <c r="L614" i="17"/>
  <c r="M614" i="17" s="1"/>
  <c r="I615" i="17"/>
  <c r="N615" i="17" s="1"/>
  <c r="J615" i="17"/>
  <c r="O615" i="17" s="1"/>
  <c r="K615" i="17"/>
  <c r="L615" i="17"/>
  <c r="M615" i="17" s="1"/>
  <c r="I616" i="17"/>
  <c r="N616" i="17" s="1"/>
  <c r="J616" i="17"/>
  <c r="O616" i="17" s="1"/>
  <c r="K616" i="17"/>
  <c r="L616" i="17"/>
  <c r="I617" i="17"/>
  <c r="J617" i="17"/>
  <c r="O617" i="17" s="1"/>
  <c r="K617" i="17"/>
  <c r="L617" i="17"/>
  <c r="I618" i="17"/>
  <c r="N618" i="17" s="1"/>
  <c r="J618" i="17"/>
  <c r="O618" i="17" s="1"/>
  <c r="K618" i="17"/>
  <c r="L618" i="17"/>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I624" i="17"/>
  <c r="N624" i="17" s="1"/>
  <c r="J624" i="17"/>
  <c r="O624" i="17" s="1"/>
  <c r="K624" i="17"/>
  <c r="L624" i="17"/>
  <c r="I625" i="17"/>
  <c r="J625" i="17"/>
  <c r="K625" i="17"/>
  <c r="L625" i="17"/>
  <c r="I626" i="17"/>
  <c r="N626" i="17" s="1"/>
  <c r="J626" i="17"/>
  <c r="O626" i="17" s="1"/>
  <c r="K626" i="17"/>
  <c r="L626" i="17"/>
  <c r="M626" i="17" s="1"/>
  <c r="I627" i="17"/>
  <c r="N627" i="17" s="1"/>
  <c r="J627" i="17"/>
  <c r="K627" i="17"/>
  <c r="L627" i="17"/>
  <c r="M627" i="17" s="1"/>
  <c r="I628" i="17"/>
  <c r="N628" i="17" s="1"/>
  <c r="J628" i="17"/>
  <c r="O628" i="17" s="1"/>
  <c r="K628" i="17"/>
  <c r="L628" i="17"/>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I633" i="17"/>
  <c r="N633" i="17" s="1"/>
  <c r="J633" i="17"/>
  <c r="O633" i="17" s="1"/>
  <c r="K633" i="17"/>
  <c r="L633" i="17"/>
  <c r="I634" i="17"/>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J638" i="17"/>
  <c r="O638" i="17" s="1"/>
  <c r="K638" i="17"/>
  <c r="L638" i="17"/>
  <c r="M638" i="17" s="1"/>
  <c r="I639" i="17"/>
  <c r="J639" i="17"/>
  <c r="O639" i="17" s="1"/>
  <c r="K639" i="17"/>
  <c r="L639" i="17"/>
  <c r="M639" i="17" s="1"/>
  <c r="I640" i="17"/>
  <c r="N640" i="17" s="1"/>
  <c r="J640" i="17"/>
  <c r="O640" i="17" s="1"/>
  <c r="K640" i="17"/>
  <c r="L640" i="17"/>
  <c r="I641" i="17"/>
  <c r="N641" i="17" s="1"/>
  <c r="J641" i="17"/>
  <c r="O641" i="17" s="1"/>
  <c r="K641" i="17"/>
  <c r="L641" i="17"/>
  <c r="I642" i="17"/>
  <c r="N642" i="17" s="1"/>
  <c r="J642" i="17"/>
  <c r="O642" i="17" s="1"/>
  <c r="K642" i="17"/>
  <c r="L642" i="17"/>
  <c r="I643" i="17"/>
  <c r="N643" i="17" s="1"/>
  <c r="J643" i="17"/>
  <c r="O643" i="17" s="1"/>
  <c r="K643" i="17"/>
  <c r="L643" i="17"/>
  <c r="I644" i="17"/>
  <c r="N644" i="17" s="1"/>
  <c r="J644" i="17"/>
  <c r="O644" i="17" s="1"/>
  <c r="K644" i="17"/>
  <c r="L644" i="17"/>
  <c r="I645" i="17"/>
  <c r="J645" i="17"/>
  <c r="K645" i="17"/>
  <c r="L645" i="17"/>
  <c r="I646" i="17"/>
  <c r="J646" i="17"/>
  <c r="O646" i="17" s="1"/>
  <c r="K646" i="17"/>
  <c r="L646" i="17"/>
  <c r="M646" i="17" s="1"/>
  <c r="I647" i="17"/>
  <c r="N647" i="17" s="1"/>
  <c r="J647" i="17"/>
  <c r="O647" i="17" s="1"/>
  <c r="K647" i="17"/>
  <c r="L647" i="17"/>
  <c r="M647" i="17" s="1"/>
  <c r="I648" i="17"/>
  <c r="N648" i="17" s="1"/>
  <c r="J648" i="17"/>
  <c r="O648" i="17" s="1"/>
  <c r="K648" i="17"/>
  <c r="L648" i="17"/>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I657" i="17"/>
  <c r="N657" i="17" s="1"/>
  <c r="J657" i="17"/>
  <c r="O657" i="17" s="1"/>
  <c r="K657" i="17"/>
  <c r="L657" i="17"/>
  <c r="I658" i="17"/>
  <c r="N658" i="17" s="1"/>
  <c r="J658" i="17"/>
  <c r="O658" i="17" s="1"/>
  <c r="K658" i="17"/>
  <c r="L658" i="17"/>
  <c r="M658" i="17" s="1"/>
  <c r="I659" i="17"/>
  <c r="N659" i="17" s="1"/>
  <c r="J659" i="17"/>
  <c r="O659" i="17" s="1"/>
  <c r="K659" i="17"/>
  <c r="L659" i="17"/>
  <c r="M659" i="17" s="1"/>
  <c r="I660" i="17"/>
  <c r="N660" i="17" s="1"/>
  <c r="J660" i="17"/>
  <c r="O660" i="17" s="1"/>
  <c r="K660" i="17"/>
  <c r="L660" i="17"/>
  <c r="I661" i="17"/>
  <c r="N661" i="17" s="1"/>
  <c r="J661" i="17"/>
  <c r="O661" i="17" s="1"/>
  <c r="K661" i="17"/>
  <c r="L661" i="17"/>
  <c r="I662" i="17"/>
  <c r="N662" i="17" s="1"/>
  <c r="J662" i="17"/>
  <c r="O662" i="17" s="1"/>
  <c r="K662" i="17"/>
  <c r="L662" i="17"/>
  <c r="I663" i="17"/>
  <c r="N663" i="17" s="1"/>
  <c r="J663" i="17"/>
  <c r="O663" i="17" s="1"/>
  <c r="K663" i="17"/>
  <c r="L663" i="17"/>
  <c r="I664" i="17"/>
  <c r="N664" i="17" s="1"/>
  <c r="J664" i="17"/>
  <c r="O664" i="17" s="1"/>
  <c r="K664" i="17"/>
  <c r="L664" i="17"/>
  <c r="I665" i="17"/>
  <c r="J665" i="17"/>
  <c r="O665" i="17" s="1"/>
  <c r="K665" i="17"/>
  <c r="L665" i="17"/>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J669" i="17"/>
  <c r="O669" i="17" s="1"/>
  <c r="K669" i="17"/>
  <c r="L669" i="17"/>
  <c r="M669" i="17" s="1"/>
  <c r="I670" i="17"/>
  <c r="J670" i="17"/>
  <c r="O670" i="17" s="1"/>
  <c r="K670" i="17"/>
  <c r="L670" i="17"/>
  <c r="M670" i="17" s="1"/>
  <c r="I671" i="17"/>
  <c r="N671" i="17" s="1"/>
  <c r="J671" i="17"/>
  <c r="O671" i="17" s="1"/>
  <c r="K671" i="17"/>
  <c r="L671" i="17"/>
  <c r="M671" i="17" s="1"/>
  <c r="I672" i="17"/>
  <c r="N672" i="17" s="1"/>
  <c r="J672" i="17"/>
  <c r="O672" i="17" s="1"/>
  <c r="K672" i="17"/>
  <c r="L672" i="17"/>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I677" i="17"/>
  <c r="N677" i="17" s="1"/>
  <c r="J677" i="17"/>
  <c r="O677" i="17" s="1"/>
  <c r="K677" i="17"/>
  <c r="L677" i="17"/>
  <c r="I678" i="17"/>
  <c r="N678" i="17" s="1"/>
  <c r="J678" i="17"/>
  <c r="O678" i="17" s="1"/>
  <c r="K678" i="17"/>
  <c r="L678" i="17"/>
  <c r="M678" i="17" s="1"/>
  <c r="I679" i="17"/>
  <c r="N679" i="17" s="1"/>
  <c r="J679" i="17"/>
  <c r="O679" i="17" s="1"/>
  <c r="K679" i="17"/>
  <c r="L679" i="17"/>
  <c r="M679" i="17" s="1"/>
  <c r="I680" i="17"/>
  <c r="N680" i="17" s="1"/>
  <c r="J680" i="17"/>
  <c r="O680" i="17" s="1"/>
  <c r="K680" i="17"/>
  <c r="L680" i="17"/>
  <c r="I681" i="17"/>
  <c r="N681" i="17" s="1"/>
  <c r="J681" i="17"/>
  <c r="O681" i="17" s="1"/>
  <c r="K681" i="17"/>
  <c r="L681" i="17"/>
  <c r="I682" i="17"/>
  <c r="J682" i="17"/>
  <c r="O682" i="17" s="1"/>
  <c r="K682" i="17"/>
  <c r="L682" i="17"/>
  <c r="I683" i="17"/>
  <c r="N683" i="17" s="1"/>
  <c r="J683" i="17"/>
  <c r="O683" i="17" s="1"/>
  <c r="K683" i="17"/>
  <c r="L683" i="17"/>
  <c r="M683" i="17" s="1"/>
  <c r="I684" i="17"/>
  <c r="N684" i="17" s="1"/>
  <c r="J684" i="17"/>
  <c r="O684" i="17" s="1"/>
  <c r="K684" i="17"/>
  <c r="L684" i="17"/>
  <c r="M684" i="17" s="1"/>
  <c r="I685" i="17"/>
  <c r="J685" i="17"/>
  <c r="O685" i="17" s="1"/>
  <c r="K685" i="17"/>
  <c r="L685" i="17"/>
  <c r="M685" i="17" s="1"/>
  <c r="I686" i="17"/>
  <c r="J686" i="17"/>
  <c r="O686" i="17" s="1"/>
  <c r="K686" i="17"/>
  <c r="L686" i="17"/>
  <c r="M686" i="17" s="1"/>
  <c r="I687" i="17"/>
  <c r="J687" i="17"/>
  <c r="O687" i="17" s="1"/>
  <c r="K687" i="17"/>
  <c r="L687" i="17"/>
  <c r="I688" i="17"/>
  <c r="N688" i="17" s="1"/>
  <c r="J688" i="17"/>
  <c r="O688" i="17" s="1"/>
  <c r="K688" i="17"/>
  <c r="L688" i="17"/>
  <c r="I689" i="17"/>
  <c r="N689" i="17" s="1"/>
  <c r="J689" i="17"/>
  <c r="K689" i="17"/>
  <c r="L689" i="17"/>
  <c r="I690" i="17"/>
  <c r="N690" i="17" s="1"/>
  <c r="J690" i="17"/>
  <c r="O690" i="17" s="1"/>
  <c r="K690" i="17"/>
  <c r="L690" i="17"/>
  <c r="M690" i="17" s="1"/>
  <c r="I691" i="17"/>
  <c r="N691" i="17" s="1"/>
  <c r="J691" i="17"/>
  <c r="K691" i="17"/>
  <c r="L691" i="17"/>
  <c r="M691" i="17" s="1"/>
  <c r="I692" i="17"/>
  <c r="N692" i="17" s="1"/>
  <c r="J692" i="17"/>
  <c r="O692" i="17" s="1"/>
  <c r="K692" i="17"/>
  <c r="L692" i="17"/>
  <c r="I693" i="17"/>
  <c r="J693" i="17"/>
  <c r="K693" i="17"/>
  <c r="L693" i="17"/>
  <c r="M693" i="17" s="1"/>
  <c r="I694" i="17"/>
  <c r="N694" i="17" s="1"/>
  <c r="J694" i="17"/>
  <c r="K694" i="17"/>
  <c r="L694" i="17"/>
  <c r="M694" i="17" s="1"/>
  <c r="I695" i="17"/>
  <c r="N695" i="17" s="1"/>
  <c r="J695" i="17"/>
  <c r="K695" i="17"/>
  <c r="L695" i="17"/>
  <c r="M695" i="17" s="1"/>
  <c r="I696" i="17"/>
  <c r="N696" i="17" s="1"/>
  <c r="J696" i="17"/>
  <c r="O696" i="17" s="1"/>
  <c r="K696" i="17"/>
  <c r="L696" i="17"/>
  <c r="I697" i="17"/>
  <c r="N697" i="17" s="1"/>
  <c r="J697" i="17"/>
  <c r="O697" i="17" s="1"/>
  <c r="K697" i="17"/>
  <c r="L697" i="17"/>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I705" i="17"/>
  <c r="J705" i="17"/>
  <c r="O705" i="17" s="1"/>
  <c r="K705" i="17"/>
  <c r="L705" i="17"/>
  <c r="I706" i="17"/>
  <c r="J706" i="17"/>
  <c r="O706" i="17" s="1"/>
  <c r="K706" i="17"/>
  <c r="L706" i="17"/>
  <c r="I707" i="17"/>
  <c r="N707" i="17" s="1"/>
  <c r="J707" i="17"/>
  <c r="O707" i="17" s="1"/>
  <c r="K707" i="17"/>
  <c r="L707" i="17"/>
  <c r="I708" i="17"/>
  <c r="N708" i="17" s="1"/>
  <c r="J708" i="17"/>
  <c r="O708" i="17" s="1"/>
  <c r="K708" i="17"/>
  <c r="L708" i="17"/>
  <c r="I709" i="17"/>
  <c r="J709" i="17"/>
  <c r="O709" i="17" s="1"/>
  <c r="K709" i="17"/>
  <c r="L709" i="17"/>
  <c r="I710" i="17"/>
  <c r="J710" i="17"/>
  <c r="O710" i="17" s="1"/>
  <c r="K710" i="17"/>
  <c r="L710" i="17"/>
  <c r="M710" i="17" s="1"/>
  <c r="I711" i="17"/>
  <c r="J711" i="17"/>
  <c r="O711" i="17" s="1"/>
  <c r="K711" i="17"/>
  <c r="L711" i="17"/>
  <c r="M711" i="17" s="1"/>
  <c r="I712" i="17"/>
  <c r="N712" i="17" s="1"/>
  <c r="J712" i="17"/>
  <c r="O712" i="17" s="1"/>
  <c r="K712" i="17"/>
  <c r="L712" i="17"/>
  <c r="I713" i="17"/>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J719" i="17"/>
  <c r="O719" i="17" s="1"/>
  <c r="K719" i="17"/>
  <c r="L719" i="17"/>
  <c r="M719" i="17" s="1"/>
  <c r="I720" i="17"/>
  <c r="N720" i="17" s="1"/>
  <c r="J720" i="17"/>
  <c r="O720" i="17" s="1"/>
  <c r="K720" i="17"/>
  <c r="L720" i="17"/>
  <c r="I721" i="17"/>
  <c r="N721" i="17" s="1"/>
  <c r="J721" i="17"/>
  <c r="O721" i="17" s="1"/>
  <c r="K721" i="17"/>
  <c r="L721" i="17"/>
  <c r="I722" i="17"/>
  <c r="N722" i="17" s="1"/>
  <c r="J722" i="17"/>
  <c r="O722" i="17" s="1"/>
  <c r="K722" i="17"/>
  <c r="L722" i="17"/>
  <c r="M722" i="17" s="1"/>
  <c r="I723" i="17"/>
  <c r="N723" i="17" s="1"/>
  <c r="J723" i="17"/>
  <c r="O723" i="17" s="1"/>
  <c r="K723" i="17"/>
  <c r="L723" i="17"/>
  <c r="M723" i="17" s="1"/>
  <c r="I724" i="17"/>
  <c r="N724" i="17" s="1"/>
  <c r="J724" i="17"/>
  <c r="O724" i="17" s="1"/>
  <c r="K724" i="17"/>
  <c r="L724" i="17"/>
  <c r="I725" i="17"/>
  <c r="N725" i="17" s="1"/>
  <c r="J725" i="17"/>
  <c r="K725" i="17"/>
  <c r="L725" i="17"/>
  <c r="I726" i="17"/>
  <c r="N726" i="17" s="1"/>
  <c r="J726" i="17"/>
  <c r="O726" i="17" s="1"/>
  <c r="K726" i="17"/>
  <c r="L726" i="17"/>
  <c r="I727" i="17"/>
  <c r="N727" i="17" s="1"/>
  <c r="J727" i="17"/>
  <c r="O727" i="17" s="1"/>
  <c r="K727" i="17"/>
  <c r="L727" i="17"/>
  <c r="I728" i="17"/>
  <c r="N728" i="17" s="1"/>
  <c r="J728" i="17"/>
  <c r="O728" i="17" s="1"/>
  <c r="K728" i="17"/>
  <c r="L728" i="17"/>
  <c r="I729" i="17"/>
  <c r="N729" i="17" s="1"/>
  <c r="J729" i="17"/>
  <c r="K729" i="17"/>
  <c r="L729" i="17"/>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I737" i="17"/>
  <c r="J737" i="17"/>
  <c r="O737" i="17" s="1"/>
  <c r="K737" i="17"/>
  <c r="L737" i="17"/>
  <c r="M737" i="17" s="1"/>
  <c r="I738" i="17"/>
  <c r="J738" i="17"/>
  <c r="O738" i="17" s="1"/>
  <c r="K738" i="17"/>
  <c r="L738" i="17"/>
  <c r="M738" i="17" s="1"/>
  <c r="I739" i="17"/>
  <c r="N739" i="17" s="1"/>
  <c r="J739" i="17"/>
  <c r="O739" i="17" s="1"/>
  <c r="K739" i="17"/>
  <c r="L739" i="17"/>
  <c r="M739" i="17" s="1"/>
  <c r="I740" i="17"/>
  <c r="N740" i="17" s="1"/>
  <c r="J740" i="17"/>
  <c r="O740" i="17" s="1"/>
  <c r="K740" i="17"/>
  <c r="L740" i="17"/>
  <c r="I741" i="17"/>
  <c r="N741" i="17" s="1"/>
  <c r="J741" i="17"/>
  <c r="O741" i="17" s="1"/>
  <c r="K741" i="17"/>
  <c r="L741" i="17"/>
  <c r="I742" i="17"/>
  <c r="N742" i="17" s="1"/>
  <c r="J742" i="17"/>
  <c r="O742" i="17" s="1"/>
  <c r="K742" i="17"/>
  <c r="L742" i="17"/>
  <c r="M742" i="17" s="1"/>
  <c r="I743" i="17"/>
  <c r="N743" i="17" s="1"/>
  <c r="J743" i="17"/>
  <c r="O743" i="17" s="1"/>
  <c r="K743" i="17"/>
  <c r="L743" i="17"/>
  <c r="M743" i="17" s="1"/>
  <c r="I744" i="17"/>
  <c r="N744" i="17" s="1"/>
  <c r="J744" i="17"/>
  <c r="O744" i="17" s="1"/>
  <c r="K744" i="17"/>
  <c r="L744" i="17"/>
  <c r="I745" i="17"/>
  <c r="N745" i="17" s="1"/>
  <c r="J745" i="17"/>
  <c r="O745" i="17" s="1"/>
  <c r="K745" i="17"/>
  <c r="L745" i="17"/>
  <c r="I746" i="17"/>
  <c r="N746" i="17" s="1"/>
  <c r="J746" i="17"/>
  <c r="O746" i="17" s="1"/>
  <c r="K746" i="17"/>
  <c r="L746" i="17"/>
  <c r="I747" i="17"/>
  <c r="N747" i="17" s="1"/>
  <c r="J747" i="17"/>
  <c r="O747" i="17" s="1"/>
  <c r="K747" i="17"/>
  <c r="L747" i="17"/>
  <c r="M747" i="17" s="1"/>
  <c r="I748" i="17"/>
  <c r="N748" i="17" s="1"/>
  <c r="J748" i="17"/>
  <c r="O748" i="17" s="1"/>
  <c r="K748" i="17"/>
  <c r="L748" i="17"/>
  <c r="M748" i="17" s="1"/>
  <c r="I749" i="17"/>
  <c r="J749" i="17"/>
  <c r="O749" i="17" s="1"/>
  <c r="K749" i="17"/>
  <c r="L749" i="17"/>
  <c r="M749" i="17" s="1"/>
  <c r="I750" i="17"/>
  <c r="J750" i="17"/>
  <c r="O750" i="17" s="1"/>
  <c r="K750" i="17"/>
  <c r="L750" i="17"/>
  <c r="M750" i="17" s="1"/>
  <c r="I751" i="17"/>
  <c r="N751" i="17" s="1"/>
  <c r="J751" i="17"/>
  <c r="O751" i="17" s="1"/>
  <c r="K751" i="17"/>
  <c r="L751" i="17"/>
  <c r="I752" i="17"/>
  <c r="N752" i="17" s="1"/>
  <c r="J752" i="17"/>
  <c r="O752" i="17" s="1"/>
  <c r="K752" i="17"/>
  <c r="L752" i="17"/>
  <c r="I753" i="17"/>
  <c r="N753" i="17" s="1"/>
  <c r="J753" i="17"/>
  <c r="O753" i="17" s="1"/>
  <c r="K753" i="17"/>
  <c r="L753" i="17"/>
  <c r="I754" i="17"/>
  <c r="N754" i="17" s="1"/>
  <c r="J754" i="17"/>
  <c r="O754" i="17" s="1"/>
  <c r="K754" i="17"/>
  <c r="L754" i="17"/>
  <c r="M754" i="17" s="1"/>
  <c r="I755" i="17"/>
  <c r="J755" i="17"/>
  <c r="O755" i="17" s="1"/>
  <c r="K755" i="17"/>
  <c r="L755" i="17"/>
  <c r="M755" i="17" s="1"/>
  <c r="I756" i="17"/>
  <c r="J756" i="17"/>
  <c r="O756" i="17" s="1"/>
  <c r="K756" i="17"/>
  <c r="L756" i="17"/>
  <c r="I757" i="17"/>
  <c r="J757" i="17"/>
  <c r="K757" i="17"/>
  <c r="L757" i="17"/>
  <c r="M757" i="17" s="1"/>
  <c r="I758" i="17"/>
  <c r="N758" i="17" s="1"/>
  <c r="J758" i="17"/>
  <c r="O758" i="17" s="1"/>
  <c r="K758" i="17"/>
  <c r="L758" i="17"/>
  <c r="M758" i="17" s="1"/>
  <c r="I759" i="17"/>
  <c r="N759" i="17" s="1"/>
  <c r="J759" i="17"/>
  <c r="K759" i="17"/>
  <c r="L759" i="17"/>
  <c r="M759" i="17" s="1"/>
  <c r="I760" i="17"/>
  <c r="N760" i="17" s="1"/>
  <c r="J760" i="17"/>
  <c r="O760" i="17" s="1"/>
  <c r="K760" i="17"/>
  <c r="L760" i="17"/>
  <c r="I761" i="17"/>
  <c r="N761" i="17" s="1"/>
  <c r="J761" i="17"/>
  <c r="K761" i="17"/>
  <c r="L761" i="17"/>
  <c r="I762" i="17"/>
  <c r="N762" i="17" s="1"/>
  <c r="J762" i="17"/>
  <c r="K762" i="17"/>
  <c r="L762" i="17"/>
  <c r="M762" i="17" s="1"/>
  <c r="I763" i="17"/>
  <c r="N763" i="17" s="1"/>
  <c r="J763" i="17"/>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I769" i="17"/>
  <c r="N769" i="17" s="1"/>
  <c r="J769" i="17"/>
  <c r="O769" i="17" s="1"/>
  <c r="K769" i="17"/>
  <c r="L769" i="17"/>
  <c r="I770" i="17"/>
  <c r="N770" i="17" s="1"/>
  <c r="J770" i="17"/>
  <c r="O770" i="17" s="1"/>
  <c r="K770" i="17"/>
  <c r="L770" i="17"/>
  <c r="I771" i="17"/>
  <c r="N771" i="17" s="1"/>
  <c r="J771" i="17"/>
  <c r="O771" i="17" s="1"/>
  <c r="K771" i="17"/>
  <c r="L771" i="17"/>
  <c r="I772" i="17"/>
  <c r="N772" i="17" s="1"/>
  <c r="J772" i="17"/>
  <c r="O772" i="17" s="1"/>
  <c r="K772" i="17"/>
  <c r="L772" i="17"/>
  <c r="I773" i="17"/>
  <c r="J773" i="17"/>
  <c r="O773" i="17" s="1"/>
  <c r="K773" i="17"/>
  <c r="L773" i="17"/>
  <c r="I774" i="17"/>
  <c r="N774" i="17" s="1"/>
  <c r="J774" i="17"/>
  <c r="O774" i="17" s="1"/>
  <c r="K774" i="17"/>
  <c r="L774" i="17"/>
  <c r="M774" i="17" s="1"/>
  <c r="I775" i="17"/>
  <c r="N775" i="17" s="1"/>
  <c r="J775" i="17"/>
  <c r="O775" i="17" s="1"/>
  <c r="K775" i="17"/>
  <c r="L775" i="17"/>
  <c r="M775" i="17" s="1"/>
  <c r="I776" i="17"/>
  <c r="N776" i="17" s="1"/>
  <c r="J776" i="17"/>
  <c r="O776" i="17" s="1"/>
  <c r="K776" i="17"/>
  <c r="L776" i="17"/>
  <c r="I777" i="17"/>
  <c r="J777" i="17"/>
  <c r="O777" i="17" s="1"/>
  <c r="K777" i="17"/>
  <c r="L777" i="17"/>
  <c r="M777" i="17" s="1"/>
  <c r="I778" i="17"/>
  <c r="J778" i="17"/>
  <c r="O778" i="17" s="1"/>
  <c r="K778" i="17"/>
  <c r="L778" i="17"/>
  <c r="M778" i="17" s="1"/>
  <c r="I779" i="17"/>
  <c r="N779" i="17" s="1"/>
  <c r="J779" i="17"/>
  <c r="O779" i="17" s="1"/>
  <c r="K779" i="17"/>
  <c r="L779" i="17"/>
  <c r="M779" i="17" s="1"/>
  <c r="I780" i="17"/>
  <c r="N780" i="17" s="1"/>
  <c r="J780" i="17"/>
  <c r="O780" i="17" s="1"/>
  <c r="K780" i="17"/>
  <c r="L780" i="17"/>
  <c r="M780" i="17" s="1"/>
  <c r="I781" i="17"/>
  <c r="J781" i="17"/>
  <c r="O781" i="17" s="1"/>
  <c r="K781" i="17"/>
  <c r="L781" i="17"/>
  <c r="M781" i="17" s="1"/>
  <c r="I782" i="17"/>
  <c r="J782" i="17"/>
  <c r="O782" i="17" s="1"/>
  <c r="K782" i="17"/>
  <c r="L782" i="17"/>
  <c r="M782" i="17" s="1"/>
  <c r="I783" i="17"/>
  <c r="J783" i="17"/>
  <c r="O783" i="17" s="1"/>
  <c r="K783" i="17"/>
  <c r="L783" i="17"/>
  <c r="M783" i="17" s="1"/>
  <c r="I784" i="17"/>
  <c r="N784" i="17" s="1"/>
  <c r="J784" i="17"/>
  <c r="O784" i="17" s="1"/>
  <c r="K784" i="17"/>
  <c r="L784" i="17"/>
  <c r="I785" i="17"/>
  <c r="N785" i="17" s="1"/>
  <c r="J785" i="17"/>
  <c r="O785" i="17" s="1"/>
  <c r="K785" i="17"/>
  <c r="L785" i="17"/>
  <c r="I786" i="17"/>
  <c r="N786" i="17" s="1"/>
  <c r="J786" i="17"/>
  <c r="O786" i="17" s="1"/>
  <c r="K786" i="17"/>
  <c r="L786" i="17"/>
  <c r="M786" i="17" s="1"/>
  <c r="I787" i="17"/>
  <c r="N787" i="17" s="1"/>
  <c r="J787" i="17"/>
  <c r="O787" i="17" s="1"/>
  <c r="K787" i="17"/>
  <c r="L787" i="17"/>
  <c r="M787" i="17" s="1"/>
  <c r="I788" i="17"/>
  <c r="N788" i="17" s="1"/>
  <c r="J788" i="17"/>
  <c r="O788" i="17" s="1"/>
  <c r="K788" i="17"/>
  <c r="L788" i="17"/>
  <c r="I789" i="17"/>
  <c r="N789" i="17" s="1"/>
  <c r="J789" i="17"/>
  <c r="O789" i="17" s="1"/>
  <c r="K789" i="17"/>
  <c r="L789" i="17"/>
  <c r="I790" i="17"/>
  <c r="N790" i="17" s="1"/>
  <c r="J790" i="17"/>
  <c r="O790" i="17" s="1"/>
  <c r="K790" i="17"/>
  <c r="L790" i="17"/>
  <c r="I791" i="17"/>
  <c r="N791" i="17" s="1"/>
  <c r="J791" i="17"/>
  <c r="O791" i="17" s="1"/>
  <c r="K791" i="17"/>
  <c r="L791" i="17"/>
  <c r="I792" i="17"/>
  <c r="N792" i="17" s="1"/>
  <c r="J792" i="17"/>
  <c r="O792" i="17" s="1"/>
  <c r="K792" i="17"/>
  <c r="L792" i="17"/>
  <c r="I793" i="17"/>
  <c r="N793" i="17" s="1"/>
  <c r="J793" i="17"/>
  <c r="O793" i="17" s="1"/>
  <c r="K793" i="17"/>
  <c r="L793" i="17"/>
  <c r="I794" i="17"/>
  <c r="J794" i="17"/>
  <c r="O794" i="17" s="1"/>
  <c r="K794" i="17"/>
  <c r="L794" i="17"/>
  <c r="M794" i="17" s="1"/>
  <c r="I795" i="17"/>
  <c r="N795" i="17" s="1"/>
  <c r="J795" i="17"/>
  <c r="O795" i="17" s="1"/>
  <c r="K795" i="17"/>
  <c r="L795" i="17"/>
  <c r="M795" i="17" s="1"/>
  <c r="I796" i="17"/>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I801" i="17"/>
  <c r="J801" i="17"/>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I805" i="17"/>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I809" i="17"/>
  <c r="N809" i="17" s="1"/>
  <c r="J809" i="17"/>
  <c r="O809" i="17" s="1"/>
  <c r="K809" i="17"/>
  <c r="L809" i="17"/>
  <c r="I810" i="17"/>
  <c r="N810" i="17" s="1"/>
  <c r="J810" i="17"/>
  <c r="O810" i="17" s="1"/>
  <c r="K810" i="17"/>
  <c r="L810" i="17"/>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I816" i="17"/>
  <c r="N816" i="17" s="1"/>
  <c r="J816" i="17"/>
  <c r="O816" i="17" s="1"/>
  <c r="K816" i="17"/>
  <c r="L816" i="17"/>
  <c r="I817" i="17"/>
  <c r="J817" i="17"/>
  <c r="O817" i="17" s="1"/>
  <c r="K817" i="17"/>
  <c r="L817" i="17"/>
  <c r="I818" i="17"/>
  <c r="J818" i="17"/>
  <c r="O818" i="17" s="1"/>
  <c r="K818" i="17"/>
  <c r="L818" i="17"/>
  <c r="M818" i="17" s="1"/>
  <c r="I819" i="17"/>
  <c r="J819" i="17"/>
  <c r="O819" i="17" s="1"/>
  <c r="K819" i="17"/>
  <c r="L819" i="17"/>
  <c r="M819" i="17" s="1"/>
  <c r="I820" i="17"/>
  <c r="N820" i="17" s="1"/>
  <c r="J820" i="17"/>
  <c r="O820" i="17" s="1"/>
  <c r="K820" i="17"/>
  <c r="L820" i="17"/>
  <c r="I821" i="17"/>
  <c r="J821" i="17"/>
  <c r="O821" i="17" s="1"/>
  <c r="K821" i="17"/>
  <c r="L821" i="17"/>
  <c r="M821" i="17" s="1"/>
  <c r="I822" i="17"/>
  <c r="J822" i="17"/>
  <c r="O822" i="17" s="1"/>
  <c r="K822" i="17"/>
  <c r="L822" i="17"/>
  <c r="M822" i="17" s="1"/>
  <c r="I823" i="17"/>
  <c r="J823" i="17"/>
  <c r="O823" i="17" s="1"/>
  <c r="K823" i="17"/>
  <c r="L823" i="17"/>
  <c r="M823" i="17" s="1"/>
  <c r="I824" i="17"/>
  <c r="N824" i="17" s="1"/>
  <c r="J824" i="17"/>
  <c r="O824" i="17" s="1"/>
  <c r="K824" i="17"/>
  <c r="L824" i="17"/>
  <c r="I825" i="17"/>
  <c r="N825" i="17" s="1"/>
  <c r="J825" i="17"/>
  <c r="K825" i="17"/>
  <c r="L825" i="17"/>
  <c r="I826" i="17"/>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K829" i="17"/>
  <c r="L829" i="17"/>
  <c r="M829" i="17" s="1"/>
  <c r="I830" i="17"/>
  <c r="N830" i="17" s="1"/>
  <c r="J830" i="17"/>
  <c r="K830" i="17"/>
  <c r="L830" i="17"/>
  <c r="M830" i="17" s="1"/>
  <c r="I831" i="17"/>
  <c r="N831" i="17" s="1"/>
  <c r="J831" i="17"/>
  <c r="K831" i="17"/>
  <c r="L831" i="17"/>
  <c r="M831" i="17" s="1"/>
  <c r="I832" i="17"/>
  <c r="N832" i="17" s="1"/>
  <c r="J832" i="17"/>
  <c r="O832" i="17" s="1"/>
  <c r="K832" i="17"/>
  <c r="L832" i="17"/>
  <c r="I833" i="17"/>
  <c r="N833" i="17" s="1"/>
  <c r="J833" i="17"/>
  <c r="K833" i="17"/>
  <c r="L833" i="17"/>
  <c r="I834" i="17"/>
  <c r="N834" i="17" s="1"/>
  <c r="J834" i="17"/>
  <c r="O834" i="17" s="1"/>
  <c r="K834" i="17"/>
  <c r="L834" i="17"/>
  <c r="I835" i="17"/>
  <c r="N835" i="17" s="1"/>
  <c r="J835" i="17"/>
  <c r="O835" i="17" s="1"/>
  <c r="K835" i="17"/>
  <c r="L835" i="17"/>
  <c r="I836" i="17"/>
  <c r="N836" i="17" s="1"/>
  <c r="J836" i="17"/>
  <c r="O836" i="17" s="1"/>
  <c r="K836" i="17"/>
  <c r="L836" i="17"/>
  <c r="I837" i="17"/>
  <c r="N837" i="17" s="1"/>
  <c r="J837" i="17"/>
  <c r="O837" i="17" s="1"/>
  <c r="K837" i="17"/>
  <c r="L837" i="17"/>
  <c r="I838" i="17"/>
  <c r="N838" i="17" s="1"/>
  <c r="J838" i="17"/>
  <c r="O838" i="17" s="1"/>
  <c r="K838" i="17"/>
  <c r="L838" i="17"/>
  <c r="M838" i="17" s="1"/>
  <c r="I839" i="17"/>
  <c r="N839" i="17" s="1"/>
  <c r="J839" i="17"/>
  <c r="O839" i="17" s="1"/>
  <c r="K839" i="17"/>
  <c r="L839" i="17"/>
  <c r="M839" i="17" s="1"/>
  <c r="I840" i="17"/>
  <c r="N840" i="17" s="1"/>
  <c r="J840" i="17"/>
  <c r="O840" i="17" s="1"/>
  <c r="K840" i="17"/>
  <c r="L840" i="17"/>
  <c r="I841" i="17"/>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J845" i="17"/>
  <c r="O845" i="17" s="1"/>
  <c r="K845" i="17"/>
  <c r="L845" i="17"/>
  <c r="M845" i="17" s="1"/>
  <c r="I846" i="17"/>
  <c r="J846" i="17"/>
  <c r="O846" i="17" s="1"/>
  <c r="K846" i="17"/>
  <c r="L846" i="17"/>
  <c r="M846" i="17" s="1"/>
  <c r="I847" i="17"/>
  <c r="N847" i="17" s="1"/>
  <c r="J847" i="17"/>
  <c r="O847" i="17" s="1"/>
  <c r="K847" i="17"/>
  <c r="L847" i="17"/>
  <c r="M847" i="17" s="1"/>
  <c r="I848" i="17"/>
  <c r="N848" i="17" s="1"/>
  <c r="J848" i="17"/>
  <c r="O848" i="17" s="1"/>
  <c r="K848" i="17"/>
  <c r="L848" i="17"/>
  <c r="I849" i="17"/>
  <c r="J849" i="17"/>
  <c r="O849" i="17" s="1"/>
  <c r="K849" i="17"/>
  <c r="L849" i="17"/>
  <c r="I850" i="17"/>
  <c r="N850" i="17" s="1"/>
  <c r="J850" i="17"/>
  <c r="O850" i="17" s="1"/>
  <c r="K850" i="17"/>
  <c r="L850" i="17"/>
  <c r="M850" i="17" s="1"/>
  <c r="I851" i="17"/>
  <c r="N851" i="17" s="1"/>
  <c r="J851" i="17"/>
  <c r="O851" i="17" s="1"/>
  <c r="K851" i="17"/>
  <c r="L851" i="17"/>
  <c r="M851" i="17" s="1"/>
  <c r="I852" i="17"/>
  <c r="N852" i="17" s="1"/>
  <c r="J852" i="17"/>
  <c r="O852" i="17" s="1"/>
  <c r="K852" i="17"/>
  <c r="L852" i="17"/>
  <c r="I853" i="17"/>
  <c r="N853" i="17" s="1"/>
  <c r="J853" i="17"/>
  <c r="O853" i="17" s="1"/>
  <c r="K853" i="17"/>
  <c r="L853" i="17"/>
  <c r="I854" i="17"/>
  <c r="N854" i="17" s="1"/>
  <c r="J854" i="17"/>
  <c r="O854" i="17" s="1"/>
  <c r="K854" i="17"/>
  <c r="L854" i="17"/>
  <c r="I855" i="17"/>
  <c r="J855" i="17"/>
  <c r="O855" i="17" s="1"/>
  <c r="K855" i="17"/>
  <c r="L855" i="17"/>
  <c r="I856" i="17"/>
  <c r="N856" i="17" s="1"/>
  <c r="J856" i="17"/>
  <c r="O856" i="17" s="1"/>
  <c r="K856" i="17"/>
  <c r="L856" i="17"/>
  <c r="I857" i="17"/>
  <c r="J857" i="17"/>
  <c r="O857" i="17" s="1"/>
  <c r="K857" i="17"/>
  <c r="L857" i="17"/>
  <c r="I858" i="17"/>
  <c r="J858" i="17"/>
  <c r="O858" i="17" s="1"/>
  <c r="K858" i="17"/>
  <c r="L858" i="17"/>
  <c r="M858" i="17" s="1"/>
  <c r="I859" i="17"/>
  <c r="N859" i="17" s="1"/>
  <c r="J859" i="17"/>
  <c r="O859" i="17" s="1"/>
  <c r="K859" i="17"/>
  <c r="L859" i="17"/>
  <c r="M859" i="17" s="1"/>
  <c r="I860" i="17"/>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I865" i="17"/>
  <c r="N865" i="17" s="1"/>
  <c r="J865" i="17"/>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I869" i="17"/>
  <c r="J869" i="17"/>
  <c r="K869" i="17"/>
  <c r="L869" i="17"/>
  <c r="I870" i="17"/>
  <c r="N870" i="17" s="1"/>
  <c r="J870" i="17"/>
  <c r="O870" i="17" s="1"/>
  <c r="K870" i="17"/>
  <c r="L870" i="17"/>
  <c r="M870" i="17" s="1"/>
  <c r="I871" i="17"/>
  <c r="N871" i="17" s="1"/>
  <c r="J871" i="17"/>
  <c r="O871" i="17" s="1"/>
  <c r="K871" i="17"/>
  <c r="L871" i="17"/>
  <c r="M871" i="17" s="1"/>
  <c r="I872" i="17"/>
  <c r="N872" i="17" s="1"/>
  <c r="J872" i="17"/>
  <c r="O872" i="17" s="1"/>
  <c r="K872" i="17"/>
  <c r="L872" i="17"/>
  <c r="I873" i="17"/>
  <c r="N873" i="17" s="1"/>
  <c r="J873" i="17"/>
  <c r="O873" i="17" s="1"/>
  <c r="K873" i="17"/>
  <c r="L873" i="17"/>
  <c r="I874" i="17"/>
  <c r="J874" i="17"/>
  <c r="O874" i="17" s="1"/>
  <c r="K874" i="17"/>
  <c r="L874" i="17"/>
  <c r="I875" i="17"/>
  <c r="N875" i="17" s="1"/>
  <c r="J875" i="17"/>
  <c r="O875" i="17" s="1"/>
  <c r="K875" i="17"/>
  <c r="L875" i="17"/>
  <c r="M875" i="17" s="1"/>
  <c r="I876" i="17"/>
  <c r="N876" i="17" s="1"/>
  <c r="J876" i="17"/>
  <c r="O876" i="17" s="1"/>
  <c r="K876" i="17"/>
  <c r="L876" i="17"/>
  <c r="M876" i="17" s="1"/>
  <c r="I877" i="17"/>
  <c r="J877" i="17"/>
  <c r="K877" i="17"/>
  <c r="L877" i="17"/>
  <c r="M877" i="17" s="1"/>
  <c r="I878" i="17"/>
  <c r="N878" i="17" s="1"/>
  <c r="J878" i="17"/>
  <c r="K878" i="17"/>
  <c r="L878" i="17"/>
  <c r="M878" i="17" s="1"/>
  <c r="I879" i="17"/>
  <c r="N879" i="17" s="1"/>
  <c r="J879" i="17"/>
  <c r="O879" i="17" s="1"/>
  <c r="K879" i="17"/>
  <c r="L879" i="17"/>
  <c r="I880" i="17"/>
  <c r="N880" i="17" s="1"/>
  <c r="J880" i="17"/>
  <c r="O880" i="17" s="1"/>
  <c r="K880" i="17"/>
  <c r="L880" i="17"/>
  <c r="I881" i="17"/>
  <c r="J881" i="17"/>
  <c r="O881" i="17" s="1"/>
  <c r="K881" i="17"/>
  <c r="L881" i="17"/>
  <c r="I882" i="17"/>
  <c r="J882" i="17"/>
  <c r="O882" i="17" s="1"/>
  <c r="K882" i="17"/>
  <c r="L882" i="17"/>
  <c r="M882" i="17" s="1"/>
  <c r="I883" i="17"/>
  <c r="J883" i="17"/>
  <c r="O883" i="17" s="1"/>
  <c r="K883" i="17"/>
  <c r="L883" i="17"/>
  <c r="M883" i="17" s="1"/>
  <c r="I884" i="17"/>
  <c r="J884" i="17"/>
  <c r="O884" i="17" s="1"/>
  <c r="K884" i="17"/>
  <c r="L884" i="17"/>
  <c r="I885" i="17"/>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I889" i="17"/>
  <c r="N889" i="17" s="1"/>
  <c r="J889" i="17"/>
  <c r="O889" i="17" s="1"/>
  <c r="K889" i="17"/>
  <c r="L889" i="17"/>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I897" i="17"/>
  <c r="J897" i="17"/>
  <c r="O897" i="17" s="1"/>
  <c r="K897" i="17"/>
  <c r="L897" i="17"/>
  <c r="I898" i="17"/>
  <c r="N898" i="17" s="1"/>
  <c r="J898" i="17"/>
  <c r="O898" i="17" s="1"/>
  <c r="K898" i="17"/>
  <c r="L898" i="17"/>
  <c r="I899" i="17"/>
  <c r="N899" i="17" s="1"/>
  <c r="J899" i="17"/>
  <c r="K899" i="17"/>
  <c r="L899" i="17"/>
  <c r="I900" i="17"/>
  <c r="N900" i="17" s="1"/>
  <c r="J900" i="17"/>
  <c r="O900" i="17" s="1"/>
  <c r="K900" i="17"/>
  <c r="L900" i="17"/>
  <c r="I901" i="17"/>
  <c r="J901" i="17"/>
  <c r="K901" i="17"/>
  <c r="L901" i="17"/>
  <c r="I902" i="17"/>
  <c r="J902" i="17"/>
  <c r="O902" i="17" s="1"/>
  <c r="K902" i="17"/>
  <c r="L902" i="17"/>
  <c r="M902" i="17" s="1"/>
  <c r="I903" i="17"/>
  <c r="N903" i="17" s="1"/>
  <c r="J903" i="17"/>
  <c r="O903" i="17" s="1"/>
  <c r="K903" i="17"/>
  <c r="L903" i="17"/>
  <c r="M903" i="17" s="1"/>
  <c r="I904" i="17"/>
  <c r="N904" i="17" s="1"/>
  <c r="J904" i="17"/>
  <c r="O904" i="17" s="1"/>
  <c r="K904" i="17"/>
  <c r="L904" i="17"/>
  <c r="I905" i="17"/>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J911" i="17"/>
  <c r="O911" i="17" s="1"/>
  <c r="K911" i="17"/>
  <c r="L911" i="17"/>
  <c r="M911" i="17" s="1"/>
  <c r="I912" i="17"/>
  <c r="N912" i="17" s="1"/>
  <c r="J912" i="17"/>
  <c r="O912" i="17" s="1"/>
  <c r="K912" i="17"/>
  <c r="L912" i="17"/>
  <c r="I913" i="17"/>
  <c r="N913" i="17" s="1"/>
  <c r="J913" i="17"/>
  <c r="O913" i="17" s="1"/>
  <c r="K913" i="17"/>
  <c r="L913" i="17"/>
  <c r="I914" i="17"/>
  <c r="J914" i="17"/>
  <c r="O914" i="17" s="1"/>
  <c r="K914" i="17"/>
  <c r="L914" i="17"/>
  <c r="M914" i="17" s="1"/>
  <c r="I915" i="17"/>
  <c r="J915" i="17"/>
  <c r="O915" i="17" s="1"/>
  <c r="K915" i="17"/>
  <c r="L915" i="17"/>
  <c r="M915" i="17" s="1"/>
  <c r="I916" i="17"/>
  <c r="N916" i="17" s="1"/>
  <c r="J916" i="17"/>
  <c r="O916" i="17" s="1"/>
  <c r="K916" i="17"/>
  <c r="L916" i="17"/>
  <c r="I917" i="17"/>
  <c r="N917" i="17" s="1"/>
  <c r="J917" i="17"/>
  <c r="O917" i="17" s="1"/>
  <c r="K917" i="17"/>
  <c r="L917" i="17"/>
  <c r="I918" i="17"/>
  <c r="N918" i="17" s="1"/>
  <c r="J918" i="17"/>
  <c r="O918" i="17" s="1"/>
  <c r="K918" i="17"/>
  <c r="L918" i="17"/>
  <c r="I919" i="17"/>
  <c r="N919" i="17" s="1"/>
  <c r="J919" i="17"/>
  <c r="O919" i="17" s="1"/>
  <c r="K919" i="17"/>
  <c r="L919" i="17"/>
  <c r="I920" i="17"/>
  <c r="N920" i="17" s="1"/>
  <c r="J920" i="17"/>
  <c r="O920" i="17" s="1"/>
  <c r="K920" i="17"/>
  <c r="L920" i="17"/>
  <c r="I921" i="17"/>
  <c r="J921" i="17"/>
  <c r="O921" i="17" s="1"/>
  <c r="K921" i="17"/>
  <c r="L921" i="17"/>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I929" i="17"/>
  <c r="N929" i="17" s="1"/>
  <c r="J929" i="17"/>
  <c r="O929" i="17" s="1"/>
  <c r="K929" i="17"/>
  <c r="L929" i="17"/>
  <c r="M929" i="17" s="1"/>
  <c r="I930" i="17"/>
  <c r="J930" i="17"/>
  <c r="O930" i="17" s="1"/>
  <c r="K930" i="17"/>
  <c r="L930" i="17"/>
  <c r="M930" i="17" s="1"/>
  <c r="I931" i="17"/>
  <c r="N931" i="17" s="1"/>
  <c r="J931" i="17"/>
  <c r="O931" i="17" s="1"/>
  <c r="K931" i="17"/>
  <c r="L931" i="17"/>
  <c r="M931" i="17" s="1"/>
  <c r="I932" i="17"/>
  <c r="N932" i="17" s="1"/>
  <c r="J932" i="17"/>
  <c r="O932" i="17" s="1"/>
  <c r="K932" i="17"/>
  <c r="L932" i="17"/>
  <c r="I933" i="17"/>
  <c r="J933" i="17"/>
  <c r="O933" i="17" s="1"/>
  <c r="K933" i="17"/>
  <c r="L933" i="17"/>
  <c r="I934" i="17"/>
  <c r="J934" i="17"/>
  <c r="O934" i="17" s="1"/>
  <c r="K934" i="17"/>
  <c r="L934" i="17"/>
  <c r="M934" i="17" s="1"/>
  <c r="I935" i="17"/>
  <c r="J935" i="17"/>
  <c r="O935" i="17" s="1"/>
  <c r="K935" i="17"/>
  <c r="L935" i="17"/>
  <c r="M935" i="17" s="1"/>
  <c r="I936" i="17"/>
  <c r="N936" i="17" s="1"/>
  <c r="J936" i="17"/>
  <c r="O936" i="17" s="1"/>
  <c r="K936" i="17"/>
  <c r="L936" i="17"/>
  <c r="I937" i="17"/>
  <c r="J937" i="17"/>
  <c r="K937" i="17"/>
  <c r="L937" i="17"/>
  <c r="I938" i="17"/>
  <c r="J938" i="17"/>
  <c r="O938" i="17" s="1"/>
  <c r="K938" i="17"/>
  <c r="L938" i="17"/>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I944" i="17"/>
  <c r="N944" i="17" s="1"/>
  <c r="J944" i="17"/>
  <c r="O944" i="17" s="1"/>
  <c r="K944" i="17"/>
  <c r="L944" i="17"/>
  <c r="I945" i="17"/>
  <c r="N945" i="17" s="1"/>
  <c r="J945" i="17"/>
  <c r="O945" i="17" s="1"/>
  <c r="K945" i="17"/>
  <c r="L945" i="17"/>
  <c r="I946" i="17"/>
  <c r="N946" i="17" s="1"/>
  <c r="J946" i="17"/>
  <c r="O946" i="17" s="1"/>
  <c r="K946" i="17"/>
  <c r="L946" i="17"/>
  <c r="M946" i="17" s="1"/>
  <c r="I947" i="17"/>
  <c r="N947" i="17" s="1"/>
  <c r="J947" i="17"/>
  <c r="K947" i="17"/>
  <c r="L947" i="17"/>
  <c r="M947" i="17" s="1"/>
  <c r="I948" i="17"/>
  <c r="N948" i="17" s="1"/>
  <c r="J948" i="17"/>
  <c r="O948" i="17" s="1"/>
  <c r="K948" i="17"/>
  <c r="L948" i="17"/>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I953" i="17"/>
  <c r="J953" i="17"/>
  <c r="K953" i="17"/>
  <c r="L953" i="17"/>
  <c r="I954" i="17"/>
  <c r="J954" i="17"/>
  <c r="O954" i="17" s="1"/>
  <c r="K954" i="17"/>
  <c r="L954" i="17"/>
  <c r="M954" i="17" s="1"/>
  <c r="I955" i="17"/>
  <c r="N955" i="17" s="1"/>
  <c r="J955" i="17"/>
  <c r="K955" i="17"/>
  <c r="L955" i="17"/>
  <c r="M955" i="17" s="1"/>
  <c r="I956" i="17"/>
  <c r="N956" i="17" s="1"/>
  <c r="J956" i="17"/>
  <c r="O956" i="17" s="1"/>
  <c r="K956" i="17"/>
  <c r="L956" i="17"/>
  <c r="M956" i="17" s="1"/>
  <c r="I957" i="17"/>
  <c r="J957" i="17"/>
  <c r="O957" i="17" s="1"/>
  <c r="K957" i="17"/>
  <c r="L957" i="17"/>
  <c r="M957" i="17" s="1"/>
  <c r="I958" i="17"/>
  <c r="J958" i="17"/>
  <c r="O958" i="17" s="1"/>
  <c r="K958" i="17"/>
  <c r="L958" i="17"/>
  <c r="M958" i="17" s="1"/>
  <c r="I959" i="17"/>
  <c r="J959" i="17"/>
  <c r="O959" i="17" s="1"/>
  <c r="K959" i="17"/>
  <c r="L959" i="17"/>
  <c r="M959" i="17" s="1"/>
  <c r="I960" i="17"/>
  <c r="N960" i="17" s="1"/>
  <c r="J960" i="17"/>
  <c r="O960" i="17" s="1"/>
  <c r="K960" i="17"/>
  <c r="L960" i="17"/>
  <c r="I961" i="17"/>
  <c r="N961" i="17" s="1"/>
  <c r="J961" i="17"/>
  <c r="O961" i="17" s="1"/>
  <c r="K961" i="17"/>
  <c r="L961" i="17"/>
  <c r="I962" i="17"/>
  <c r="N962" i="17" s="1"/>
  <c r="J962" i="17"/>
  <c r="O962" i="17" s="1"/>
  <c r="K962" i="17"/>
  <c r="L962" i="17"/>
  <c r="I963" i="17"/>
  <c r="N963" i="17" s="1"/>
  <c r="J963" i="17"/>
  <c r="O963" i="17" s="1"/>
  <c r="K963" i="17"/>
  <c r="L963" i="17"/>
  <c r="I964" i="17"/>
  <c r="N964" i="17" s="1"/>
  <c r="J964" i="17"/>
  <c r="O964" i="17" s="1"/>
  <c r="K964" i="17"/>
  <c r="L964" i="17"/>
  <c r="I965" i="17"/>
  <c r="N965" i="17" s="1"/>
  <c r="J965" i="17"/>
  <c r="O965" i="17" s="1"/>
  <c r="K965" i="17"/>
  <c r="L965" i="17"/>
  <c r="I966" i="17"/>
  <c r="J966" i="17"/>
  <c r="O966" i="17" s="1"/>
  <c r="K966" i="17"/>
  <c r="L966" i="17"/>
  <c r="M966" i="17" s="1"/>
  <c r="I967" i="17"/>
  <c r="N967" i="17" s="1"/>
  <c r="J967" i="17"/>
  <c r="K967" i="17"/>
  <c r="L967" i="17"/>
  <c r="M967" i="17" s="1"/>
  <c r="I968" i="17"/>
  <c r="J968" i="17"/>
  <c r="O968" i="17" s="1"/>
  <c r="K968" i="17"/>
  <c r="L968" i="17"/>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I977" i="17"/>
  <c r="J977" i="17"/>
  <c r="O977" i="17" s="1"/>
  <c r="K977" i="17"/>
  <c r="L977" i="17"/>
  <c r="I978" i="17"/>
  <c r="J978" i="17"/>
  <c r="O978" i="17" s="1"/>
  <c r="K978" i="17"/>
  <c r="L978" i="17"/>
  <c r="M978" i="17" s="1"/>
  <c r="I979" i="17"/>
  <c r="N979" i="17" s="1"/>
  <c r="J979" i="17"/>
  <c r="O979" i="17" s="1"/>
  <c r="K979" i="17"/>
  <c r="L979" i="17"/>
  <c r="M979" i="17" s="1"/>
  <c r="I980" i="17"/>
  <c r="N980" i="17" s="1"/>
  <c r="J980" i="17"/>
  <c r="O980" i="17" s="1"/>
  <c r="K980" i="17"/>
  <c r="L980" i="17"/>
  <c r="I981" i="17"/>
  <c r="N981" i="17" s="1"/>
  <c r="J981" i="17"/>
  <c r="O981" i="17" s="1"/>
  <c r="K981" i="17"/>
  <c r="L981" i="17"/>
  <c r="I982" i="17"/>
  <c r="N982" i="17" s="1"/>
  <c r="J982" i="17"/>
  <c r="O982" i="17" s="1"/>
  <c r="K982" i="17"/>
  <c r="L982" i="17"/>
  <c r="I983" i="17"/>
  <c r="N983" i="17" s="1"/>
  <c r="J983" i="17"/>
  <c r="O983" i="17" s="1"/>
  <c r="K983" i="17"/>
  <c r="L983" i="17"/>
  <c r="I984" i="17"/>
  <c r="N984" i="17" s="1"/>
  <c r="J984" i="17"/>
  <c r="O984" i="17" s="1"/>
  <c r="K984" i="17"/>
  <c r="L984" i="17"/>
  <c r="I985" i="17"/>
  <c r="N985" i="17" s="1"/>
  <c r="J985" i="17"/>
  <c r="K985" i="17"/>
  <c r="L985" i="17"/>
  <c r="I986" i="17"/>
  <c r="J986" i="17"/>
  <c r="O986" i="17" s="1"/>
  <c r="K986" i="17"/>
  <c r="L986" i="17"/>
  <c r="M986" i="17" s="1"/>
  <c r="I987" i="17"/>
  <c r="N987" i="17" s="1"/>
  <c r="J987" i="17"/>
  <c r="O987" i="17" s="1"/>
  <c r="K987" i="17"/>
  <c r="L987" i="17"/>
  <c r="M987" i="17" s="1"/>
  <c r="I988" i="17"/>
  <c r="N988" i="17" s="1"/>
  <c r="J988" i="17"/>
  <c r="O988" i="17" s="1"/>
  <c r="K988" i="17"/>
  <c r="L988" i="17"/>
  <c r="M988" i="17" s="1"/>
  <c r="I989" i="17"/>
  <c r="J989" i="17"/>
  <c r="O989" i="17" s="1"/>
  <c r="K989" i="17"/>
  <c r="L989" i="17"/>
  <c r="M989" i="17" s="1"/>
  <c r="I990" i="17"/>
  <c r="J990" i="17"/>
  <c r="O990" i="17" s="1"/>
  <c r="K990" i="17"/>
  <c r="L990" i="17"/>
  <c r="M990" i="17" s="1"/>
  <c r="I991" i="17"/>
  <c r="J991" i="17"/>
  <c r="O991" i="17" s="1"/>
  <c r="K991" i="17"/>
  <c r="L991" i="17"/>
  <c r="M991" i="17" s="1"/>
  <c r="I992" i="17"/>
  <c r="J992" i="17"/>
  <c r="O992" i="17" s="1"/>
  <c r="K992" i="17"/>
  <c r="L992" i="17"/>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I997" i="17"/>
  <c r="N997" i="17" s="1"/>
  <c r="J997" i="17"/>
  <c r="O997" i="17" s="1"/>
  <c r="K997" i="17"/>
  <c r="L997" i="17"/>
  <c r="I998" i="17"/>
  <c r="N998" i="17" s="1"/>
  <c r="J998" i="17"/>
  <c r="O998" i="17" s="1"/>
  <c r="K998" i="17"/>
  <c r="L998" i="17"/>
  <c r="M998" i="17" s="1"/>
  <c r="I999" i="17"/>
  <c r="N999" i="17" s="1"/>
  <c r="J999" i="17"/>
  <c r="O999" i="17" s="1"/>
  <c r="K999" i="17"/>
  <c r="L999" i="17"/>
  <c r="M999" i="17" s="1"/>
  <c r="I1000" i="17"/>
  <c r="N1000" i="17" s="1"/>
  <c r="J1000" i="17"/>
  <c r="O1000" i="17" s="1"/>
  <c r="K1000" i="17"/>
  <c r="L1000" i="17"/>
  <c r="I1001" i="17"/>
  <c r="N1001" i="17" s="1"/>
  <c r="J1001" i="17"/>
  <c r="O1001" i="17" s="1"/>
  <c r="K1001" i="17"/>
  <c r="L1001" i="17"/>
  <c r="I3" i="17"/>
  <c r="N3" i="17" s="1"/>
  <c r="J3" i="17"/>
  <c r="O3" i="17" s="1"/>
  <c r="K3" i="17"/>
  <c r="L3" i="17"/>
  <c r="M3" i="17" s="1"/>
  <c r="I4" i="17"/>
  <c r="N4" i="17" s="1"/>
  <c r="J4" i="17"/>
  <c r="O4" i="17" s="1"/>
  <c r="K4" i="17"/>
  <c r="L4" i="17"/>
  <c r="M4" i="17" s="1"/>
  <c r="I5" i="17"/>
  <c r="N5" i="17" s="1"/>
  <c r="J5" i="17"/>
  <c r="O5" i="17" s="1"/>
  <c r="K5" i="17"/>
  <c r="L5" i="17"/>
  <c r="I6" i="17"/>
  <c r="N6" i="17" s="1"/>
  <c r="J6" i="17"/>
  <c r="O6" i="17" s="1"/>
  <c r="K6" i="17"/>
  <c r="L6" i="17"/>
  <c r="I7" i="17"/>
  <c r="N7" i="17" s="1"/>
  <c r="J7" i="17"/>
  <c r="O7" i="17" s="1"/>
  <c r="K7" i="17"/>
  <c r="L7" i="17"/>
  <c r="M7" i="17" s="1"/>
  <c r="J2" i="17"/>
  <c r="O2" i="17" s="1"/>
  <c r="K2" i="17"/>
  <c r="L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<sst xmlns="http://schemas.openxmlformats.org/spreadsheetml/2006/main" count="11128" uniqueCount="6221">
  <si>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</si>
  <si>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</si>
  <si>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</si>
  <si>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</si>
  <si>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</si>
  <si>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</si>
  <si>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</si>
  <si>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</si>
  <si>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</si>
  <si>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</si>
  <si>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</si>
  <si>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</si>
  <si>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</si>
  <si>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</si>
  <si>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</si>
  <si>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</si>
  <si>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</si>
  <si>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</si>
  <si>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</si>
  <si>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</si>
  <si>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</si>
  <si>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</si>
  <si>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</si>
  <si>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</si>
  <si>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</si>
  <si>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</si>
  <si>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</si>
  <si>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</si>
  <si>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</si>
  <si>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</si>
  <si>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</si>
  <si>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</si>
  <si>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</si>
  <si>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</si>
  <si>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</si>
  <si>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</si>
  <si>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</si>
  <si>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</si>
  <si>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</si>
  <si>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</si>
  <si>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</si>
  <si>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</si>
  <si>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</si>
  <si>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</si>
  <si>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</si>
  <si>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</si>
  <si>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</si>
  <si>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</si>
  <si>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</si>
  <si>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</si>
  <si>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</si>
  <si>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</si>
  <si>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</si>
  <si>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</si>
  <si>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</si>
  <si>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</si>
  <si>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</si>
  <si>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</si>
  <si>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</si>
  <si>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</si>
  <si>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</si>
  <si>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</si>
  <si>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</si>
  <si>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</si>
  <si>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</si>
  <si>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</si>
  <si>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</si>
  <si>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</si>
  <si>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</si>
  <si>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</si>
  <si>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</si>
  <si>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</si>
  <si>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</si>
  <si>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</si>
  <si>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</si>
  <si>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</si>
  <si>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</si>
  <si>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</si>
  <si>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</si>
  <si>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</si>
  <si>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</si>
  <si>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</si>
  <si>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</si>
  <si>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</si>
  <si>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</si>
  <si>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</si>
  <si>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</si>
  <si>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</si>
  <si>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</si>
  <si>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</si>
  <si>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</si>
  <si>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</si>
  <si>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</si>
  <si>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</si>
  <si>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</si>
  <si>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</si>
  <si>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</si>
  <si>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</si>
  <si>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</si>
  <si>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</si>
  <si>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</si>
  <si>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</si>
  <si>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</si>
  <si>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</si>
  <si>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</si>
  <si>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</si>
  <si>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</si>
  <si>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</si>
  <si>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</si>
  <si>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</si>
  <si>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</si>
  <si>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</si>
  <si>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</si>
  <si>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</si>
  <si>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</si>
  <si>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</si>
  <si>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</si>
  <si>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</si>
  <si>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</si>
  <si>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</si>
  <si>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</si>
  <si>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</si>
  <si>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</si>
  <si>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</si>
  <si>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</si>
  <si>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</si>
  <si>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</si>
  <si>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</si>
  <si>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</si>
  <si>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</si>
  <si>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</si>
  <si>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</si>
  <si>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</si>
  <si>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</si>
  <si>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</si>
  <si>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</si>
  <si>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</si>
  <si>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</si>
  <si>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</si>
  <si>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</si>
  <si>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</si>
  <si>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</si>
  <si>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</si>
  <si>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</si>
  <si>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</si>
  <si>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</si>
  <si>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</si>
  <si>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</si>
  <si>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</si>
  <si>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</si>
  <si>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</si>
  <si>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</si>
  <si>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</si>
  <si>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</si>
  <si>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</si>
  <si>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</si>
  <si>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</si>
  <si>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</si>
  <si>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</si>
  <si>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</si>
  <si>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</si>
  <si>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</si>
  <si>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</si>
  <si>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</si>
  <si>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</si>
  <si>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</si>
  <si>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</si>
  <si>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</si>
  <si>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</si>
  <si>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</si>
  <si>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</si>
  <si>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</si>
  <si>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</si>
  <si>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</si>
  <si>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</si>
  <si>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</si>
  <si>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</si>
  <si>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</si>
  <si>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</si>
  <si>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</si>
  <si>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</si>
  <si>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</si>
  <si>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</si>
  <si>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</si>
  <si>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</si>
  <si>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</si>
  <si>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</si>
  <si>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</si>
  <si>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</si>
  <si>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</si>
  <si>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</si>
  <si>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</si>
  <si>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</si>
  <si>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</si>
  <si>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</si>
  <si>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</si>
  <si>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</si>
  <si>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</si>
  <si>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</si>
  <si>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</si>
  <si>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</si>
  <si>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</si>
  <si>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</si>
  <si>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</si>
  <si>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</si>
  <si>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</si>
  <si>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</si>
  <si>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</si>
  <si>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</si>
  <si>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</si>
  <si>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</si>
  <si>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</si>
  <si>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</si>
  <si>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</si>
  <si>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</si>
  <si>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</si>
  <si>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</si>
  <si>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</si>
  <si>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</si>
  <si>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</si>
  <si>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</si>
  <si>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</si>
  <si>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</si>
  <si>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</si>
  <si>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</si>
  <si>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</si>
  <si>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</si>
  <si>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</si>
  <si>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</si>
  <si>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</si>
  <si>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</si>
  <si>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</si>
  <si>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</si>
  <si>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</si>
  <si>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</si>
  <si>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</si>
  <si>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</si>
  <si>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</si>
  <si>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</si>
  <si>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</si>
  <si>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</si>
  <si>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</si>
  <si>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</si>
  <si>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</si>
  <si>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</si>
  <si>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</si>
  <si>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</si>
  <si>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</si>
  <si>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</si>
  <si>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</si>
  <si>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</si>
  <si>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</si>
  <si>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</si>
  <si>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</si>
  <si>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</si>
  <si>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</si>
  <si>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</si>
  <si>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</si>
  <si>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</si>
  <si>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</si>
  <si>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</si>
  <si>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</si>
  <si>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</si>
  <si>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</si>
  <si>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</si>
  <si>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</si>
  <si>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</si>
  <si>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</si>
  <si>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</si>
  <si>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</si>
  <si>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</si>
  <si>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</si>
  <si>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</si>
  <si>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</si>
  <si>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</si>
  <si>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</si>
  <si>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</si>
  <si>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</si>
  <si>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</si>
  <si>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</si>
  <si>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</si>
  <si>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</si>
  <si>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</si>
  <si>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</si>
  <si>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</si>
  <si>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</si>
  <si>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</si>
  <si>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</si>
  <si>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</si>
  <si>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</si>
  <si>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</si>
  <si>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</si>
  <si>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</si>
  <si>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</si>
  <si>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</si>
  <si>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</si>
  <si>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</si>
  <si>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</si>
  <si>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</si>
  <si>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</si>
  <si>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</si>
  <si>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</si>
  <si>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</si>
  <si>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</si>
  <si>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</si>
  <si>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</si>
  <si>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</si>
  <si>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</si>
  <si>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</si>
  <si>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</si>
  <si>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</si>
  <si>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</si>
  <si>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</si>
  <si>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</si>
  <si>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</si>
  <si>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</si>
  <si>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</si>
  <si>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</si>
  <si>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</si>
  <si>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</si>
  <si>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</si>
  <si>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</si>
  <si>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</si>
  <si>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</si>
  <si>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</si>
  <si>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</si>
  <si>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</si>
  <si>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</si>
  <si>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</si>
  <si>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</si>
  <si>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</si>
  <si>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</si>
  <si>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</si>
  <si>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</si>
  <si>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</si>
  <si>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</si>
  <si>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</si>
  <si>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</si>
  <si>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</si>
  <si>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</si>
  <si>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</si>
  <si>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</si>
  <si>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</si>
  <si>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</si>
  <si>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</si>
  <si>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</si>
  <si>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</si>
  <si>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</si>
  <si>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</si>
  <si>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</si>
  <si>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</si>
  <si>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</si>
  <si>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</si>
  <si>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</si>
  <si>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</si>
  <si>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</si>
  <si>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</si>
  <si>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</si>
  <si>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</si>
  <si>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</si>
  <si>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</si>
  <si>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</si>
  <si>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</si>
  <si>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</si>
  <si>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</si>
  <si>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</si>
  <si>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</si>
  <si>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</si>
  <si>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</si>
  <si>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</si>
  <si>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</si>
  <si>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</si>
  <si>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</si>
  <si>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</si>
  <si>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</si>
  <si>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</si>
  <si>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</si>
  <si>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</si>
  <si>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</si>
  <si>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</si>
  <si>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</si>
  <si>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</si>
  <si>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</si>
  <si>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</si>
  <si>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</si>
  <si>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</si>
  <si>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</si>
  <si>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</si>
  <si>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</si>
  <si>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</si>
  <si>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</si>
  <si>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</si>
  <si>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</si>
  <si>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</si>
  <si>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</si>
  <si>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</si>
  <si>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</si>
  <si>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</si>
  <si>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</si>
  <si>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</si>
  <si>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</si>
  <si>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</si>
  <si>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</si>
  <si>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</si>
  <si>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</si>
  <si>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</si>
  <si>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</si>
  <si>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</si>
  <si>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</si>
  <si>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</si>
  <si>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</si>
  <si>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</si>
  <si>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</si>
  <si>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</si>
  <si>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</si>
  <si>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</si>
  <si>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</si>
  <si>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</si>
  <si>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</si>
  <si>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</si>
  <si>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</si>
  <si>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</si>
  <si>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</si>
  <si>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</si>
  <si>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</si>
  <si>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</si>
  <si>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</si>
  <si>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</si>
  <si>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</si>
  <si>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</si>
  <si>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</si>
  <si>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</si>
  <si>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</si>
  <si>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</si>
  <si>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</si>
  <si>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</si>
  <si>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</si>
  <si>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</si>
  <si>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</si>
  <si>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</si>
  <si>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</si>
  <si>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</si>
  <si>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</si>
  <si>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</si>
  <si>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</si>
  <si>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</si>
  <si>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</si>
  <si>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</si>
  <si>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</si>
  <si>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</si>
  <si>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</si>
  <si>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</si>
  <si>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</si>
  <si>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</si>
  <si>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</si>
  <si>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</si>
  <si>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</si>
  <si>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</si>
  <si>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</si>
  <si>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</si>
  <si>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</si>
  <si>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</si>
  <si>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</si>
  <si>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</si>
  <si>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</si>
  <si>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</si>
  <si>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</si>
  <si>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</si>
  <si>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</si>
  <si>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</si>
  <si>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</si>
  <si>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</si>
  <si>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</si>
  <si>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</si>
  <si>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</si>
  <si>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</si>
  <si>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</si>
  <si>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</si>
  <si>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</si>
  <si>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</si>
  <si>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</si>
  <si>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</si>
  <si>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</si>
  <si>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</si>
  <si>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</si>
  <si>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</si>
  <si>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</si>
  <si>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</si>
  <si>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</si>
  <si>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</si>
  <si>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</si>
  <si>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</si>
  <si>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</si>
  <si>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</si>
  <si>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</si>
  <si>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</si>
  <si>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</si>
  <si>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</si>
  <si>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</si>
  <si>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</si>
  <si>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</si>
  <si>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</si>
  <si>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</si>
  <si>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</si>
  <si>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</si>
  <si>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</si>
  <si>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</si>
  <si>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</si>
  <si>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</si>
  <si>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</si>
  <si>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</si>
  <si>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</si>
  <si>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</si>
  <si>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</si>
  <si>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</si>
  <si>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</si>
  <si>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</si>
  <si>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</si>
  <si>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</si>
  <si>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</si>
  <si>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</si>
  <si>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</si>
  <si>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</si>
  <si>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</si>
  <si>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</si>
  <si>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</si>
  <si>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</si>
  <si>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</si>
  <si>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</si>
  <si>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</si>
  <si>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</si>
  <si>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</si>
  <si>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</si>
  <si>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</si>
  <si>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</si>
  <si>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</si>
  <si>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</si>
  <si>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</si>
  <si>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</si>
  <si>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</si>
  <si>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</si>
  <si>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</si>
  <si>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</si>
  <si>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</si>
  <si>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</si>
  <si>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</si>
  <si>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</si>
  <si>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</si>
  <si>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</si>
  <si>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</si>
  <si>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</si>
  <si>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</si>
  <si>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</si>
  <si>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</si>
  <si>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</si>
  <si>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</si>
  <si>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</si>
  <si>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</si>
  <si>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</si>
  <si>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</si>
  <si>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</si>
  <si>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</si>
  <si>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</si>
  <si>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</si>
  <si>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</si>
  <si>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</si>
  <si>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</si>
  <si>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</si>
  <si>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</si>
  <si>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</si>
  <si>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</si>
  <si>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</si>
  <si>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</si>
  <si>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</si>
  <si>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</si>
  <si>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</si>
  <si>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</si>
  <si>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</si>
  <si>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</si>
  <si>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</si>
  <si>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</si>
  <si>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</si>
  <si>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</si>
  <si>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</si>
  <si>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</si>
  <si>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</si>
  <si>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</si>
  <si>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</si>
  <si>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</si>
  <si>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</si>
  <si>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</si>
  <si>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</si>
  <si>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</si>
  <si>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</si>
  <si>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</si>
  <si>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</si>
  <si>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</si>
  <si>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</si>
  <si>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</si>
  <si>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</si>
  <si>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</si>
  <si>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</si>
  <si>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</si>
  <si>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</si>
  <si>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</si>
  <si>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</si>
  <si>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</si>
  <si>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</si>
  <si>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</si>
  <si>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</si>
  <si>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</si>
  <si>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</si>
  <si>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</si>
  <si>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</si>
  <si>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</si>
  <si>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</si>
  <si>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</si>
  <si>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</si>
  <si>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</si>
  <si>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</si>
  <si>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</si>
  <si>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</si>
  <si>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</si>
  <si>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</si>
  <si>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</si>
  <si>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</si>
  <si>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</si>
  <si>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</si>
  <si>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</si>
  <si>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</si>
  <si>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</si>
  <si>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</si>
  <si>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</si>
  <si>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</si>
  <si>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</si>
  <si>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</si>
  <si>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</si>
  <si>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</si>
  <si>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</si>
  <si>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</si>
  <si>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</si>
  <si>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</si>
  <si>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</si>
  <si>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</si>
  <si>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</si>
  <si>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</si>
  <si>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</si>
  <si>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</si>
  <si>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</si>
  <si>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</si>
  <si>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</si>
  <si>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</si>
  <si>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</si>
  <si>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</si>
  <si>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</si>
  <si>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</si>
  <si>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</si>
  <si>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</si>
  <si>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</si>
  <si>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</si>
  <si>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</si>
  <si>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</si>
  <si>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</si>
  <si>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</si>
  <si>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</si>
  <si>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</si>
  <si>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</si>
  <si>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</si>
  <si>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</si>
  <si>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</si>
  <si>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</si>
  <si>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</si>
  <si>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</si>
  <si>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</si>
  <si>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</si>
  <si>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</si>
  <si>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</si>
  <si>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</si>
  <si>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</si>
  <si>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</si>
  <si>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</si>
  <si>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</si>
  <si>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</si>
  <si>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</si>
  <si>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</si>
  <si>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</si>
  <si>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</si>
  <si>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</si>
  <si>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</si>
  <si>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</si>
  <si>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</si>
  <si>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</si>
  <si>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</si>
  <si>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</si>
  <si>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</si>
  <si>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</si>
  <si>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</si>
  <si>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</si>
  <si>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</si>
  <si>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</si>
  <si>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</si>
  <si>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</si>
  <si>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</si>
  <si>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</si>
  <si>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</si>
  <si>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</si>
  <si>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</si>
  <si>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</si>
  <si>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</si>
  <si>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</si>
  <si>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</si>
  <si>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</si>
  <si>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</si>
  <si>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</si>
  <si>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</si>
  <si>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</si>
  <si>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</si>
  <si>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</si>
  <si>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</si>
  <si>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</si>
  <si>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</si>
  <si>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</si>
  <si>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</si>
  <si>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</si>
  <si>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</si>
  <si>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</si>
  <si>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</si>
  <si>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</si>
  <si>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</si>
  <si>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</si>
  <si>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</si>
  <si>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</si>
  <si>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</si>
  <si>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</si>
  <si>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</si>
  <si>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</si>
  <si>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</si>
  <si>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</si>
  <si>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</si>
  <si>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</si>
  <si>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</si>
  <si>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</si>
  <si>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</si>
  <si>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</si>
  <si>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</si>
  <si>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</si>
  <si>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</si>
  <si>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</si>
  <si>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</si>
  <si>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</si>
  <si>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</si>
  <si>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</si>
  <si>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</si>
  <si>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</si>
  <si>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</si>
  <si>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</si>
  <si>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</si>
  <si>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</si>
  <si>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</si>
  <si>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</si>
  <si>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</si>
  <si>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</si>
  <si>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</si>
  <si>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</si>
  <si>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</si>
  <si>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</si>
  <si>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</si>
  <si>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</si>
  <si>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</si>
  <si>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</si>
  <si>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</si>
  <si>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</si>
  <si>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</si>
  <si>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</si>
  <si>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</si>
  <si>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</si>
  <si>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</si>
  <si>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</si>
  <si>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</si>
  <si>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</si>
  <si>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</si>
  <si>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</si>
  <si>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</si>
  <si>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</si>
  <si>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</si>
  <si>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</si>
  <si>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</si>
  <si>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</si>
  <si>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</si>
  <si>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</si>
  <si>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</si>
  <si>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</si>
  <si>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</si>
  <si>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</si>
  <si>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</si>
  <si>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</si>
  <si>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</si>
  <si>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</si>
  <si>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</si>
  <si>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</si>
  <si>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</si>
  <si>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</si>
  <si>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</si>
  <si>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</si>
  <si>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</si>
  <si>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</si>
  <si>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</si>
  <si>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</si>
  <si>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</si>
  <si>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</si>
  <si>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</si>
  <si>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</si>
  <si>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</si>
  <si>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</si>
  <si>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</si>
  <si>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</si>
  <si>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</si>
  <si>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</si>
  <si>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</si>
  <si>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</si>
  <si>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</si>
  <si>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</si>
  <si>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</si>
  <si>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</si>
  <si>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</si>
  <si>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</si>
  <si>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</si>
  <si>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</si>
  <si>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</si>
  <si>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</si>
  <si>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</si>
  <si>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</si>
  <si>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</si>
  <si>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</si>
  <si>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</si>
  <si>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</si>
  <si>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</si>
  <si>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</si>
  <si>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</si>
  <si>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</si>
  <si>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</si>
  <si>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</si>
  <si>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</si>
  <si>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</si>
  <si>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</si>
  <si>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</si>
  <si>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</si>
  <si>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</si>
  <si>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</si>
  <si>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</si>
  <si>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</si>
  <si>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</si>
  <si>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</si>
  <si>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</si>
  <si>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</si>
  <si>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</si>
  <si>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</si>
  <si>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</si>
  <si>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</si>
  <si>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</si>
  <si>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</si>
  <si>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</si>
  <si>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</si>
  <si>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</si>
  <si>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</si>
  <si>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</si>
  <si>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</si>
  <si>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</si>
  <si>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</si>
  <si>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</si>
  <si>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</si>
  <si>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</si>
  <si>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</si>
  <si>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</si>
  <si>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</si>
  <si>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</si>
  <si>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</si>
  <si>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</si>
  <si>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</si>
  <si>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</si>
  <si>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</si>
  <si>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</si>
  <si>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</si>
  <si>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</si>
  <si>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</si>
  <si>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</si>
  <si>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</si>
  <si>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</si>
  <si>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</si>
  <si>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</si>
  <si>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</si>
  <si>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</si>
  <si>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</si>
  <si>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</si>
  <si>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</si>
  <si>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</si>
  <si>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</si>
  <si>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</si>
  <si>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</si>
  <si>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</si>
  <si>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</si>
  <si>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</si>
  <si>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</si>
  <si>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</si>
  <si>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</si>
  <si>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</si>
  <si>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</si>
  <si>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</si>
  <si>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</si>
  <si>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</si>
  <si>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</si>
  <si>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</si>
  <si>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</si>
  <si>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</si>
  <si>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</si>
  <si>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</si>
  <si>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</si>
  <si>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</si>
  <si>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</si>
  <si>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</si>
  <si>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</si>
  <si>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</si>
  <si>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</si>
  <si>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</si>
  <si>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</si>
  <si>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</si>
  <si>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</si>
  <si>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</si>
  <si>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</si>
  <si>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</si>
  <si>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</si>
  <si>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</si>
  <si>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</si>
  <si>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</si>
  <si>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</si>
  <si>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</si>
  <si>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</si>
  <si>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</si>
  <si>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</si>
  <si>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</si>
  <si>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</si>
  <si>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</si>
  <si>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</si>
  <si>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</si>
  <si>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</si>
  <si>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</si>
  <si>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</si>
  <si>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</si>
  <si>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</si>
  <si>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</si>
  <si>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</si>
  <si>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</si>
  <si>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</si>
  <si>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</si>
  <si>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</si>
  <si>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</si>
  <si>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</si>
  <si>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</si>
  <si>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</si>
  <si>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</si>
  <si>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</si>
  <si>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</si>
  <si>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</si>
  <si>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</si>
  <si>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</si>
  <si>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</si>
  <si>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</si>
  <si>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</si>
  <si>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</si>
  <si>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</si>
  <si>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</si>
  <si>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</si>
  <si>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</si>
  <si>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</si>
  <si>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</si>
  <si>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</si>
  <si>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</si>
  <si>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</si>
  <si>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</si>
  <si>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</si>
  <si>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</si>
  <si>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</si>
  <si>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</si>
  <si>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</si>
  <si>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</si>
  <si>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</si>
  <si>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</si>
  <si>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</si>
  <si>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</si>
  <si>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</si>
  <si>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</si>
  <si>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</si>
  <si>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</si>
  <si>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</si>
  <si>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</si>
  <si>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</si>
  <si>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</si>
  <si>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</si>
  <si>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</si>
  <si>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</si>
  <si>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</si>
  <si>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</si>
  <si>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</si>
  <si>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</si>
  <si>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</si>
  <si>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</si>
  <si>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</si>
  <si>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</si>
  <si>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</si>
  <si>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</si>
  <si>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</si>
  <si>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</si>
  <si>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</si>
  <si>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</si>
  <si>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</si>
  <si>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</si>
  <si>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</si>
  <si>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</si>
  <si>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</si>
  <si>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</si>
  <si>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</si>
  <si>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</si>
  <si>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</si>
  <si>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</si>
  <si>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</si>
  <si>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</si>
  <si>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</si>
  <si>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</si>
  <si>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</si>
  <si>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</si>
  <si>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</si>
  <si>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</si>
  <si>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</si>
  <si>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</si>
  <si>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</si>
  <si>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</si>
  <si>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</si>
  <si>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</si>
  <si>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</si>
  <si>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</si>
  <si>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</si>
  <si>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</si>
  <si>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</si>
  <si>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</si>
  <si>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</si>
  <si>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</si>
  <si>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</si>
  <si>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</si>
  <si>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</si>
  <si>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</si>
  <si>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</si>
  <si>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</si>
  <si>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</si>
  <si>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</si>
  <si>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</si>
  <si>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</si>
  <si>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</si>
  <si>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</si>
  <si>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</si>
  <si>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</si>
  <si>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</si>
  <si>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</si>
  <si>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</si>
  <si>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</si>
  <si>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</si>
  <si>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</si>
  <si>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</si>
  <si>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</si>
  <si>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</si>
  <si>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</si>
  <si>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</si>
  <si>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</si>
  <si>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</si>
  <si>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</si>
  <si>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</si>
  <si>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</si>
  <si>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</si>
  <si>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</si>
  <si>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</si>
  <si>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</si>
  <si>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</si>
  <si>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</si>
  <si>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</si>
  <si>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</si>
  <si>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</si>
  <si>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</si>
  <si>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</si>
  <si>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</si>
  <si>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</si>
  <si>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</si>
  <si>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</si>
  <si>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</si>
  <si>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</si>
  <si>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</si>
  <si>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</si>
  <si>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</si>
  <si>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</si>
  <si>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</si>
  <si>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</si>
  <si>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</si>
  <si>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</si>
  <si>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</si>
  <si>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</si>
  <si>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</si>
  <si>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</si>
  <si>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</si>
  <si>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</si>
  <si>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</si>
  <si>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</si>
  <si>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</si>
  <si>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</si>
  <si>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</si>
  <si>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</si>
  <si>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</si>
  <si>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</si>
  <si>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</si>
  <si>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</si>
  <si>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</si>
  <si>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</si>
  <si>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</si>
  <si>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</si>
  <si>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</si>
  <si>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</si>
  <si>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</si>
  <si>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</si>
  <si>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</si>
  <si>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</si>
  <si>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</si>
  <si>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</si>
  <si>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</si>
  <si>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</si>
  <si>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</si>
  <si>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</si>
  <si>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</si>
  <si>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</si>
  <si>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</si>
  <si>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</si>
  <si>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</si>
  <si>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</si>
  <si>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</si>
  <si>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</si>
  <si>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</si>
  <si>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</si>
  <si>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</si>
  <si>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</si>
  <si>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</si>
  <si>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</si>
  <si>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</si>
  <si>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</si>
  <si>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</si>
  <si>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</si>
  <si>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</si>
  <si>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</si>
  <si>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</si>
  <si>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</si>
  <si>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</si>
  <si>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</si>
  <si>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</si>
  <si>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</si>
  <si>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</si>
  <si>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</si>
  <si>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</si>
  <si>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</si>
  <si>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</si>
  <si>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</si>
  <si>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</si>
  <si>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</si>
  <si>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</si>
  <si>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</si>
  <si>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</si>
  <si>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</si>
  <si>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</si>
  <si>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</si>
  <si>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</si>
  <si>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</si>
  <si>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</si>
  <si>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</si>
  <si>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</si>
  <si>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</si>
  <si>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</si>
  <si>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</si>
  <si>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</si>
  <si>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</si>
  <si>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</si>
  <si>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</si>
  <si>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</si>
  <si>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</si>
  <si>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</si>
  <si>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</si>
  <si>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</si>
  <si>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</si>
  <si>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</si>
  <si>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</si>
  <si>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</si>
  <si>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</si>
  <si>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</si>
  <si>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</si>
  <si>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</si>
  <si>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</si>
  <si>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</si>
  <si>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</si>
  <si>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</si>
  <si>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</si>
  <si>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</si>
  <si>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</si>
  <si>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</si>
  <si>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</si>
  <si>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</si>
  <si>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</si>
  <si>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</si>
  <si>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</si>
  <si>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</si>
  <si>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</si>
  <si>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</si>
  <si>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</si>
  <si>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</si>
  <si>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</si>
  <si>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</si>
  <si>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</si>
  <si>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</si>
  <si>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</si>
  <si>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</si>
  <si>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</si>
  <si>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</si>
  <si>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</si>
  <si>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</si>
  <si>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</si>
  <si>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</si>
  <si>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</si>
  <si>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</si>
  <si>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</si>
  <si>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</si>
  <si>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</si>
  <si>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</si>
  <si>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</si>
  <si>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</si>
  <si>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</si>
  <si>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</si>
  <si>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</si>
  <si>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</si>
  <si>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</si>
  <si>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</si>
  <si>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</si>
  <si>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</si>
  <si>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</si>
  <si>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</si>
  <si>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</si>
  <si>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</si>
  <si>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</si>
  <si>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</si>
  <si>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</si>
  <si>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</si>
  <si>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</si>
  <si>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</si>
  <si>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</si>
  <si>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</si>
  <si>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</si>
  <si>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</si>
  <si>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</si>
  <si>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</si>
  <si>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</si>
  <si>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</si>
  <si>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</si>
  <si>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</si>
  <si>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</si>
  <si>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</si>
  <si>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</si>
  <si>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</si>
  <si>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</si>
  <si>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</si>
  <si>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</si>
  <si>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</si>
  <si>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</si>
  <si>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</si>
  <si>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</si>
  <si>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</si>
  <si>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</si>
  <si>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</si>
  <si>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</si>
  <si>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</si>
  <si>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</si>
  <si>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</si>
  <si>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</si>
  <si>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</si>
  <si>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</si>
  <si>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</si>
  <si>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</si>
  <si>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</si>
  <si>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</si>
  <si>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</si>
  <si>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</si>
  <si>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</si>
  <si>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</si>
  <si>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</si>
  <si>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</si>
  <si>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</si>
  <si>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</si>
  <si>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</si>
  <si>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</si>
  <si>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</si>
  <si>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</si>
  <si>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</si>
  <si>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</si>
  <si>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</si>
  <si>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</si>
  <si>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</si>
  <si>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</si>
  <si>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</si>
  <si>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</si>
  <si>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</si>
  <si>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</si>
  <si>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</si>
  <si>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</si>
  <si>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</si>
  <si>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</si>
  <si>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</si>
  <si>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</si>
  <si>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</si>
  <si>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</si>
  <si>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</si>
  <si>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</si>
  <si>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</si>
  <si>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</si>
  <si>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</si>
  <si>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</si>
  <si>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</si>
  <si>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</si>
  <si>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</si>
  <si>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</si>
  <si>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</si>
  <si>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</si>
  <si>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</si>
  <si>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</si>
  <si>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</si>
  <si>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</si>
  <si>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</si>
  <si>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</si>
  <si>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</si>
  <si>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</si>
  <si>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</si>
  <si>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</si>
  <si>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</si>
  <si>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</si>
  <si>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</si>
  <si>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</si>
  <si>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</si>
  <si>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</si>
  <si>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</si>
  <si>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</si>
  <si>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</si>
  <si>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</si>
  <si>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</si>
  <si>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</si>
  <si>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</si>
  <si>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</si>
  <si>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</si>
  <si>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</si>
  <si>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</si>
  <si>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</si>
  <si>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</si>
  <si>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</si>
  <si>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</si>
  <si>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</si>
  <si>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</si>
  <si>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</si>
  <si>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</si>
  <si>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</si>
  <si>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</si>
  <si>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</si>
  <si>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</si>
  <si>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</si>
  <si>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</si>
  <si>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</si>
  <si>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</si>
  <si>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</si>
  <si>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</si>
  <si>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</si>
  <si>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</si>
  <si>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</si>
  <si>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</si>
  <si>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</si>
  <si>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</si>
  <si>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</si>
  <si>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</si>
  <si>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</si>
  <si>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</si>
  <si>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</si>
  <si>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</si>
  <si>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</si>
  <si>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</si>
  <si>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</si>
  <si>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</si>
  <si>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</si>
  <si>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</si>
  <si>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</si>
  <si>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</si>
  <si>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</si>
  <si>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</si>
  <si>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</si>
  <si>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</si>
  <si>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</si>
  <si>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</si>
  <si>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</si>
  <si>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</si>
  <si>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</si>
  <si>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</si>
  <si>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</si>
  <si>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</si>
  <si>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</si>
  <si>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</si>
  <si>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</si>
  <si>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</si>
  <si>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</si>
  <si>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</si>
  <si>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</si>
  <si>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</si>
  <si>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</si>
  <si>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</si>
  <si>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</si>
  <si>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</si>
  <si>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</si>
  <si>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</si>
  <si>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</si>
  <si>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</si>
  <si>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</si>
  <si>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</si>
  <si>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</si>
  <si>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</si>
  <si>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</si>
  <si>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</si>
  <si>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</si>
  <si>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</si>
  <si>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</si>
  <si>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</si>
  <si>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</si>
  <si>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</si>
  <si>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</si>
  <si>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</si>
  <si>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</si>
  <si>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</si>
  <si>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</si>
  <si>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</si>
  <si>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</si>
  <si>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</si>
  <si>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</si>
  <si>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</si>
  <si>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</si>
  <si>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</si>
  <si>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</si>
  <si>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</si>
  <si>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</si>
  <si>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</si>
  <si>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</si>
  <si>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</si>
  <si>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</si>
  <si>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</si>
  <si>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</si>
  <si>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</si>
  <si>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</si>
  <si>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</si>
  <si>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</si>
  <si>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</si>
  <si>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</si>
  <si>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</si>
  <si>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</si>
  <si>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</si>
  <si>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</si>
  <si>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</si>
  <si>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</si>
  <si>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</si>
  <si>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</si>
  <si>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</si>
  <si>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</si>
  <si>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</si>
  <si>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</si>
  <si>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</si>
  <si>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</si>
  <si>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</si>
  <si>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</si>
  <si>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</si>
  <si>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</si>
  <si>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</si>
  <si>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</si>
  <si>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</si>
  <si>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</si>
  <si>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</si>
  <si>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</si>
  <si>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</si>
  <si>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</si>
  <si>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</si>
  <si>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</si>
  <si>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</si>
  <si>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</si>
  <si>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</si>
  <si>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</si>
  <si>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</si>
  <si>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</si>
  <si>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</si>
  <si>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</si>
  <si>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</si>
  <si>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</si>
  <si>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</si>
  <si>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</si>
  <si>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</si>
  <si>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</si>
  <si>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</si>
  <si>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</si>
  <si>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</si>
  <si>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</si>
  <si>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</si>
  <si>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</si>
  <si>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</si>
  <si>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</si>
  <si>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</si>
  <si>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</si>
  <si>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</si>
  <si>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</si>
  <si>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</si>
  <si>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</si>
  <si>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</si>
  <si>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</si>
  <si>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</si>
  <si>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</si>
  <si>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</si>
  <si>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</si>
  <si>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</si>
  <si>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</si>
  <si>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</si>
  <si>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</si>
  <si>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</si>
  <si>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</si>
  <si>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</si>
  <si>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</si>
  <si>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</si>
  <si>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</si>
  <si>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</si>
  <si>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</si>
  <si>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</si>
  <si>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</si>
  <si>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</si>
  <si>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</si>
  <si>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</si>
  <si>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</si>
  <si>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</si>
  <si>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</si>
  <si>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</si>
  <si>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</si>
  <si>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</si>
  <si>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</si>
  <si>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</si>
  <si>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</si>
  <si>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</si>
  <si>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</si>
  <si>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</si>
  <si>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</si>
  <si>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</si>
  <si>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</si>
  <si>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</si>
  <si>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</si>
  <si>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</si>
  <si>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</si>
  <si>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</si>
  <si>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</si>
  <si>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</si>
  <si>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</si>
  <si>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</si>
  <si>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</si>
  <si>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</si>
  <si>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</si>
  <si>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</si>
  <si>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</si>
  <si>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</si>
  <si>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</si>
  <si>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</si>
  <si>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</si>
  <si>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</si>
  <si>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</si>
  <si>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</si>
  <si>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</si>
  <si>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</si>
  <si>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</si>
  <si>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</si>
  <si>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</si>
  <si>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</si>
  <si>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</si>
  <si>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</si>
  <si>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</si>
  <si>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</si>
  <si>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</si>
  <si>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</si>
  <si>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</si>
  <si>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</si>
  <si>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</si>
  <si>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</si>
  <si>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</si>
  <si>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</si>
  <si>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</si>
  <si>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</si>
  <si>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</si>
  <si>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</si>
  <si>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</si>
  <si>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</si>
  <si>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</si>
  <si>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</si>
  <si>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</si>
  <si>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</si>
  <si>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</si>
  <si>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</si>
  <si>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</si>
  <si>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</si>
  <si>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</si>
  <si>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</si>
  <si>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</si>
  <si>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</si>
  <si>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</si>
  <si>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</si>
  <si>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</si>
  <si>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</si>
  <si>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</si>
  <si>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</si>
  <si>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</si>
  <si>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</si>
  <si>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</si>
  <si>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</si>
  <si>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</si>
  <si>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</si>
  <si>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</si>
  <si>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</si>
  <si>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</si>
  <si>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</si>
  <si>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</si>
  <si>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</si>
  <si>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</si>
  <si>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</si>
  <si>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</si>
  <si>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</si>
  <si>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</si>
  <si>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</si>
  <si>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</si>
  <si>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</si>
  <si>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</si>
  <si>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</si>
  <si>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</si>
  <si>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</si>
  <si>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</si>
  <si>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</si>
  <si>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</si>
  <si>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</si>
  <si>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</si>
  <si>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</si>
  <si>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</si>
  <si>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</si>
  <si>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</si>
  <si>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</si>
  <si>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</si>
  <si>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</si>
  <si>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</si>
  <si>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</si>
  <si>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</si>
  <si>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</si>
  <si>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</si>
  <si>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</si>
  <si>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</si>
  <si>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</si>
  <si>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</si>
  <si>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</si>
  <si>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</si>
  <si>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</si>
  <si>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</si>
  <si>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</si>
  <si>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</si>
  <si>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</si>
  <si>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</si>
  <si>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</si>
  <si>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</si>
  <si>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</si>
  <si>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</si>
  <si>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</si>
  <si>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</si>
  <si>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</si>
  <si>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</si>
  <si>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</si>
  <si>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</si>
  <si>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</si>
  <si>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</si>
  <si>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</si>
  <si>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</si>
  <si>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</si>
  <si>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</si>
  <si>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</si>
  <si>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</si>
  <si>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</si>
  <si>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</si>
  <si>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</si>
  <si>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</si>
  <si>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</si>
  <si>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</si>
  <si>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</si>
  <si>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</si>
  <si>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</si>
  <si>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</si>
  <si>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</si>
  <si>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</si>
  <si>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</si>
  <si>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</si>
  <si>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</si>
  <si>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</si>
  <si>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</si>
  <si>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</si>
  <si>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</si>
  <si>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</si>
  <si>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</si>
  <si>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</si>
  <si>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</si>
  <si>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</si>
  <si>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</si>
  <si>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</si>
  <si>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</si>
  <si>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</si>
  <si>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</si>
  <si>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</si>
  <si>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</si>
  <si>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</si>
  <si>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</si>
  <si>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</si>
  <si>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</si>
  <si>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</si>
  <si>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</si>
  <si>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</si>
  <si>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</si>
  <si>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</si>
  <si>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</si>
  <si>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</si>
  <si>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</si>
  <si>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</si>
  <si>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</si>
  <si>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</si>
  <si>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</si>
  <si>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</si>
  <si>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</si>
  <si>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</si>
  <si>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</si>
  <si>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</si>
  <si>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</si>
  <si>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</si>
  <si>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</si>
  <si>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</si>
  <si>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</si>
  <si>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</si>
  <si>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</si>
  <si>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</si>
  <si>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</si>
  <si>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</si>
  <si>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</si>
  <si>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</si>
  <si>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</si>
  <si>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</si>
  <si>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</si>
  <si>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</si>
  <si>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</si>
  <si>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</si>
  <si>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</si>
  <si>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</si>
  <si>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</si>
  <si>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</si>
  <si>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</si>
  <si>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</si>
  <si>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</si>
  <si>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</si>
  <si>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</si>
  <si>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</si>
  <si>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</si>
  <si>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</si>
  <si>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</si>
  <si>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</si>
  <si>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</si>
  <si>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</si>
  <si>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</si>
  <si>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</si>
  <si>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</si>
  <si>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</si>
  <si>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</si>
  <si>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</si>
  <si>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</si>
  <si>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</si>
  <si>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</si>
  <si>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</si>
  <si>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</si>
  <si>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</si>
  <si>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</si>
  <si>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</si>
  <si>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</si>
  <si>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</si>
  <si>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</si>
  <si>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</si>
  <si>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</si>
  <si>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</si>
  <si>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</si>
  <si>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</si>
  <si>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</si>
  <si>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</si>
  <si>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</si>
  <si>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</si>
  <si>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</si>
  <si>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</si>
  <si>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</si>
  <si>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</si>
  <si>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</si>
  <si>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</si>
  <si>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</si>
  <si>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</si>
  <si>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</si>
  <si>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</si>
  <si>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</si>
  <si>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</si>
  <si>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</si>
  <si>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</si>
  <si>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</si>
  <si>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</si>
  <si>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</si>
  <si>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</si>
  <si>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</si>
  <si>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</si>
  <si>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</si>
  <si>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</si>
  <si>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</si>
  <si>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</si>
  <si>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</si>
  <si>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</si>
  <si>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</si>
  <si>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</si>
  <si>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</si>
  <si>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</si>
  <si>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</si>
  <si>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</si>
  <si>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</si>
  <si>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</si>
  <si>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</si>
  <si>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</si>
  <si>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</si>
  <si>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</si>
  <si>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</si>
  <si>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</si>
  <si>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</si>
  <si>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</si>
  <si>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</si>
  <si>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</si>
  <si>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</si>
  <si>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</si>
  <si>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</si>
  <si>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</si>
  <si>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</si>
  <si>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</si>
  <si>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</si>
  <si>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</si>
  <si>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</si>
  <si>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</si>
  <si>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</si>
  <si>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</si>
  <si>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</si>
  <si>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</si>
  <si>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</si>
  <si>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</si>
  <si>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</si>
  <si>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</si>
  <si>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</si>
  <si>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</si>
  <si>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</si>
  <si>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</si>
  <si>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</si>
  <si>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</si>
  <si>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</si>
  <si>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</si>
  <si>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</si>
  <si>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</si>
  <si>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</si>
  <si>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</si>
  <si>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</si>
  <si>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</si>
  <si>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</si>
  <si>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</si>
  <si>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</si>
  <si>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</si>
  <si>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</si>
  <si>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</si>
  <si>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</si>
  <si>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</si>
  <si>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</si>
  <si>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</si>
  <si>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</si>
  <si>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</si>
  <si>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</si>
  <si>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</si>
  <si>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</si>
  <si>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</si>
  <si>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</si>
  <si>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</si>
  <si>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</si>
  <si>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</si>
  <si>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</si>
  <si>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</si>
  <si>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</si>
  <si>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</si>
  <si>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</si>
  <si>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</si>
  <si>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</si>
  <si>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</si>
  <si>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</si>
  <si>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</si>
  <si>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</si>
  <si>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</si>
  <si>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</si>
  <si>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</si>
  <si>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</si>
  <si>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</si>
  <si>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</si>
  <si>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</si>
  <si>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</si>
  <si>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</si>
  <si>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</si>
  <si>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</si>
  <si>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</si>
  <si>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</si>
  <si>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</si>
  <si>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</si>
  <si>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</si>
  <si>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</si>
  <si>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</si>
  <si>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</si>
  <si>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</si>
  <si>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</si>
  <si>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</si>
  <si>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</si>
  <si>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</si>
  <si>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</si>
  <si>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</si>
  <si>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</si>
  <si>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</si>
  <si>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</si>
  <si>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</si>
  <si>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</si>
  <si>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</si>
  <si>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</si>
  <si>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</si>
  <si>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</si>
  <si>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</si>
  <si>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</si>
  <si>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</si>
  <si>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</si>
  <si>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</si>
  <si>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</si>
  <si>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</si>
  <si>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</si>
  <si>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</si>
  <si>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</si>
  <si>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</si>
  <si>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</si>
  <si>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</si>
  <si>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</si>
  <si>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</si>
  <si>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</si>
  <si>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</si>
  <si>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</si>
  <si>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</si>
  <si>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</si>
  <si>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</si>
  <si>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</si>
  <si>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</si>
  <si>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</si>
  <si>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</si>
  <si>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</si>
  <si>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</si>
  <si>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</si>
  <si>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</si>
  <si>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</si>
  <si>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</si>
  <si>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</si>
  <si>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</si>
  <si>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</si>
  <si>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</si>
  <si>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</si>
  <si>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</si>
  <si>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</si>
  <si>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</si>
  <si>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</si>
  <si>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</si>
  <si>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</si>
  <si>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</si>
  <si>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</si>
  <si>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</si>
  <si>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</si>
  <si>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</si>
  <si>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</si>
  <si>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</si>
  <si>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</si>
  <si>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</si>
  <si>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</si>
  <si>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</si>
  <si>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</si>
  <si>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</si>
  <si>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</si>
  <si>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</si>
  <si>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</si>
  <si>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</si>
  <si>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</si>
  <si>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</si>
  <si>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</si>
  <si>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</si>
  <si>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</si>
  <si>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</si>
  <si>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</si>
  <si>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</si>
  <si>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</si>
  <si>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</si>
  <si>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</si>
  <si>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</si>
  <si>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</si>
  <si>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</si>
  <si>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</si>
  <si>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</si>
  <si>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</si>
  <si>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</si>
  <si>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</si>
  <si>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</si>
  <si>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</si>
  <si>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</si>
  <si>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</si>
  <si>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</si>
  <si>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</si>
  <si>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</si>
  <si>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</si>
  <si>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</si>
  <si>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</si>
  <si>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</si>
  <si>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</si>
  <si>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</si>
  <si>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</si>
  <si>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</si>
  <si>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</si>
  <si>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</si>
  <si>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</si>
  <si>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</si>
  <si>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</si>
  <si>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</si>
  <si>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</si>
  <si>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</si>
  <si>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</si>
  <si>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</si>
  <si>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</si>
  <si>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</si>
  <si>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</si>
  <si>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</si>
  <si>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</si>
  <si>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</si>
  <si>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</si>
  <si>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</si>
  <si>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</si>
  <si>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</si>
  <si>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</si>
  <si>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</si>
  <si>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</si>
  <si>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</si>
  <si>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</si>
  <si>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</si>
  <si>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</si>
  <si>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</si>
  <si>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</si>
  <si>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</si>
  <si>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</si>
  <si>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</si>
  <si>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</si>
  <si>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</si>
  <si>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</si>
  <si>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</si>
  <si>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</si>
  <si>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</si>
  <si>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</si>
  <si>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</si>
  <si>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</si>
  <si>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</si>
  <si>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</si>
  <si>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</si>
  <si>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</si>
  <si>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</si>
  <si>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</si>
  <si>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</si>
  <si>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</si>
  <si>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</si>
  <si>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</si>
  <si>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</si>
  <si>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</si>
  <si>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</si>
  <si>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</si>
  <si>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</si>
  <si>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</si>
  <si>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</si>
  <si>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</si>
  <si>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</si>
  <si>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</si>
  <si>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</si>
  <si>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</si>
  <si>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</si>
  <si>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</si>
  <si>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</si>
  <si>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</si>
  <si>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</si>
  <si>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</si>
  <si>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</si>
  <si>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</si>
  <si>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</si>
  <si>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</si>
  <si>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</si>
  <si>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</si>
  <si>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</si>
  <si>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</si>
  <si>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</si>
  <si>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</si>
  <si>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</si>
  <si>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</si>
  <si>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</si>
  <si>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</si>
  <si>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</si>
  <si>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</si>
  <si>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</si>
  <si>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</si>
  <si>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</si>
  <si>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</si>
  <si>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</si>
  <si>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</si>
  <si>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</si>
  <si>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</si>
  <si>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</si>
  <si>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</si>
  <si>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</si>
  <si>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</si>
  <si>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</si>
  <si>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</si>
  <si>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</si>
  <si>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</si>
  <si>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</si>
  <si>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</si>
  <si>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</si>
  <si>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</si>
  <si>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</si>
  <si>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</si>
  <si>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</si>
  <si>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</si>
  <si>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</si>
  <si>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</si>
  <si>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</si>
  <si>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</si>
  <si>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</si>
  <si>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</si>
  <si>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</si>
  <si>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</si>
  <si>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</si>
  <si>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</si>
  <si>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</si>
  <si>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</si>
  <si>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</si>
  <si>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</si>
  <si>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</si>
  <si>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</si>
  <si>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</si>
  <si>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</si>
  <si>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</si>
  <si>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</si>
  <si>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</si>
  <si>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</si>
  <si>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</si>
  <si>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</si>
  <si>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</si>
  <si>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</si>
  <si>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</si>
  <si>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</si>
  <si>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</si>
  <si>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</si>
  <si>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</si>
  <si>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</si>
  <si>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</si>
  <si>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</si>
  <si>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</si>
  <si>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</si>
  <si>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</si>
  <si>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</si>
  <si>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</si>
  <si>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</si>
  <si>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</si>
  <si>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</si>
  <si>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</si>
  <si>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</si>
  <si>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</si>
  <si>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</si>
  <si>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</si>
  <si>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</si>
  <si>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</si>
  <si>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</si>
  <si>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</si>
  <si>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</si>
  <si>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</si>
  <si>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</si>
  <si>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</si>
  <si>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</si>
  <si>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</si>
  <si>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</si>
  <si>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</si>
  <si>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</si>
  <si>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</si>
  <si>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</si>
  <si>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</si>
  <si>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</si>
  <si>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</si>
  <si>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</si>
  <si>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</si>
  <si>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</si>
  <si>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</si>
  <si>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</si>
  <si>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</si>
  <si>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</si>
  <si>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</si>
  <si>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</si>
  <si>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</si>
  <si>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</si>
  <si>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</si>
  <si>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</si>
  <si>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</si>
  <si>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</si>
  <si>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</si>
  <si>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</si>
  <si>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</si>
  <si>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</si>
  <si>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</si>
  <si>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</si>
  <si>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</si>
  <si>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</si>
  <si>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</si>
  <si>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</si>
  <si>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</si>
  <si>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</si>
  <si>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</si>
  <si>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</si>
  <si>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</si>
  <si>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</si>
  <si>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</si>
  <si>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</si>
  <si>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</si>
  <si>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</si>
  <si>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</si>
  <si>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</si>
  <si>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</si>
  <si>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</si>
  <si>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</si>
  <si>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</si>
  <si>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</si>
  <si>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</si>
  <si>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</si>
  <si>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</si>
  <si>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</si>
  <si>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</si>
  <si>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</si>
  <si>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</si>
  <si>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</si>
  <si>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</si>
  <si>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</si>
  <si>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</si>
  <si>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</si>
  <si>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</si>
  <si>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</si>
  <si>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</si>
  <si>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</si>
  <si>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</si>
  <si>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</si>
  <si>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</si>
  <si>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</si>
  <si>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</si>
  <si>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</si>
  <si>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</si>
  <si>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</si>
  <si>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</si>
  <si>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</si>
  <si>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</si>
  <si>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</si>
  <si>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</si>
  <si>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</si>
  <si>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</si>
  <si>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</si>
  <si>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</si>
  <si>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</si>
  <si>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</si>
  <si>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</si>
  <si>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</si>
  <si>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</si>
  <si>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</si>
  <si>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</si>
  <si>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</si>
  <si>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</si>
  <si>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</si>
  <si>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</si>
  <si>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</si>
  <si>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</si>
  <si>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</si>
  <si>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</si>
  <si>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</si>
  <si>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</si>
  <si>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</si>
  <si>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</si>
  <si>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</si>
  <si>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</si>
  <si>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</si>
  <si>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</si>
  <si>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</si>
  <si>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</si>
  <si>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</si>
  <si>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</si>
  <si>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</si>
  <si>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</si>
  <si>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</si>
  <si>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</si>
  <si>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</si>
  <si>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</si>
  <si>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</si>
  <si>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</si>
  <si>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</si>
  <si>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</si>
  <si>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</si>
  <si>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</si>
  <si>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</si>
  <si>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</si>
  <si>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</si>
  <si>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</si>
  <si>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</si>
  <si>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</si>
  <si>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</si>
  <si>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</si>
  <si>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</si>
  <si>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</si>
  <si>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</si>
  <si>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</si>
  <si>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</si>
  <si>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</si>
  <si>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</si>
  <si>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</si>
  <si>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</si>
  <si>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</si>
  <si>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</si>
  <si>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</si>
  <si>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</si>
  <si>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</si>
  <si>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</si>
  <si>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</si>
  <si>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</si>
  <si>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</si>
  <si>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</si>
  <si>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</si>
  <si>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</si>
  <si>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</si>
  <si>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</si>
  <si>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</si>
  <si>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</si>
  <si>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</si>
  <si>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</si>
  <si>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</si>
  <si>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</si>
  <si>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</si>
  <si>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</si>
  <si>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</si>
  <si>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</si>
  <si>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</si>
  <si>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</si>
  <si>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</si>
  <si>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</si>
  <si>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</si>
  <si>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</si>
  <si>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</si>
  <si>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</si>
  <si>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</si>
  <si>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</si>
  <si>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</si>
  <si>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</si>
  <si>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</si>
  <si>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</si>
  <si>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</si>
  <si>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</si>
  <si>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</si>
  <si>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</si>
  <si>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</si>
  <si>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</si>
  <si>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</si>
  <si>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</si>
  <si>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</si>
  <si>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</si>
  <si>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</si>
  <si>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</si>
  <si>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</si>
  <si>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</si>
  <si>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</si>
  <si>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</si>
  <si>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</si>
  <si>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</si>
  <si>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</si>
  <si>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</si>
  <si>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</si>
  <si>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</si>
  <si>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</si>
  <si>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</si>
  <si>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</si>
  <si>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</si>
  <si>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</si>
  <si>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</si>
  <si>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</si>
  <si>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</si>
  <si>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</si>
  <si>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</si>
  <si>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</si>
  <si>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</si>
  <si>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</si>
  <si>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</si>
  <si>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</si>
  <si>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</si>
  <si>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</si>
  <si>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</si>
  <si>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</si>
  <si>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</si>
  <si>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</si>
  <si>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</si>
  <si>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</si>
  <si>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</si>
  <si>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</si>
  <si>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</si>
  <si>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</si>
  <si>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</si>
  <si>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</si>
  <si>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</si>
  <si>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</si>
  <si>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</si>
  <si>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</si>
  <si>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</si>
  <si>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</si>
  <si>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</si>
  <si>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</si>
  <si>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</si>
  <si>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</si>
  <si>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</si>
  <si>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</si>
  <si>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</si>
  <si>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</si>
  <si>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</si>
  <si>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</si>
  <si>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</si>
  <si>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</si>
  <si>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</si>
  <si>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</si>
  <si>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</si>
  <si>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</si>
  <si>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</si>
  <si>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</si>
  <si>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</si>
  <si>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</si>
  <si>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</si>
  <si>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</si>
  <si>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</si>
  <si>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</si>
  <si>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</si>
  <si>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</si>
  <si>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</si>
  <si>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</si>
  <si>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</si>
  <si>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</si>
  <si>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</si>
  <si>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</si>
  <si>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</si>
  <si>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</si>
  <si>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</si>
  <si>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</si>
  <si>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</si>
  <si>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</si>
  <si>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</si>
  <si>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</si>
  <si>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</si>
  <si>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</si>
  <si>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</si>
  <si>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</si>
  <si>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</si>
  <si>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</si>
  <si>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</si>
  <si>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</si>
  <si>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</si>
  <si>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</si>
  <si>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</si>
  <si>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</si>
  <si>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</si>
  <si>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</si>
  <si>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</si>
  <si>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</si>
  <si>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</si>
  <si>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</si>
  <si>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</si>
  <si>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</si>
  <si>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</si>
  <si>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</si>
  <si>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</si>
  <si>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</si>
  <si>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</si>
  <si>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</si>
  <si>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</si>
  <si>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</si>
  <si>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</si>
  <si>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</si>
  <si>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</si>
  <si>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</si>
  <si>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</si>
  <si>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</si>
  <si>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</si>
  <si>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</si>
  <si>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</si>
  <si>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</si>
  <si>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</si>
  <si>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</si>
  <si>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</si>
  <si>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</si>
  <si>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</si>
  <si>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</si>
  <si>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</si>
  <si>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</si>
  <si>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</si>
  <si>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</si>
  <si>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</si>
  <si>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</si>
  <si>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</si>
  <si>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</si>
  <si>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</si>
  <si>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</si>
  <si>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</si>
  <si>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</si>
  <si>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</si>
  <si>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</si>
  <si>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</si>
  <si>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</si>
  <si>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</si>
  <si>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</si>
  <si>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</si>
  <si>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</si>
  <si>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</si>
  <si>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</si>
  <si>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</si>
  <si>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</si>
  <si>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</si>
  <si>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</si>
  <si>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</si>
  <si>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</si>
  <si>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</si>
  <si>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</si>
  <si>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</si>
  <si>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</si>
  <si>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</si>
  <si>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</si>
  <si>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</si>
  <si>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</si>
  <si>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</si>
  <si>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</si>
  <si>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</si>
  <si>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</si>
  <si>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</si>
  <si>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</si>
  <si>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</si>
  <si>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</si>
  <si>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</si>
  <si>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</si>
  <si>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</si>
  <si>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</si>
  <si>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</si>
  <si>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</si>
  <si>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</si>
  <si>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</si>
  <si>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</si>
  <si>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</si>
  <si>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</si>
  <si>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</si>
  <si>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</si>
  <si>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</si>
  <si>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</si>
  <si>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</si>
  <si>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</si>
  <si>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</si>
  <si>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</si>
  <si>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</si>
  <si>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</si>
  <si>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</si>
  <si>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</si>
  <si>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</si>
  <si>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</si>
  <si>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</si>
  <si>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</si>
  <si>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</si>
  <si>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</si>
  <si>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</si>
  <si>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</si>
  <si>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</si>
  <si>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</si>
  <si>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</si>
  <si>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</si>
  <si>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</si>
  <si>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</si>
  <si>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</si>
  <si>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</si>
  <si>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</si>
  <si>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</si>
  <si>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</si>
  <si>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</si>
  <si>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</si>
  <si>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</si>
  <si>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</si>
  <si>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</si>
  <si>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</si>
  <si>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</si>
  <si>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</si>
  <si>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</si>
  <si>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</si>
  <si>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</si>
  <si>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</si>
  <si>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</si>
  <si>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</si>
  <si>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</si>
  <si>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</si>
  <si>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</si>
  <si>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</si>
  <si>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</si>
  <si>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</si>
  <si>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</si>
  <si>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</si>
  <si>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</si>
  <si>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</si>
  <si>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</si>
  <si>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</si>
  <si>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</si>
  <si>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</si>
  <si>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</si>
  <si>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</si>
  <si>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</si>
  <si>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</si>
  <si>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</si>
  <si>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</si>
  <si>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</si>
  <si>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</si>
  <si>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</si>
  <si>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</si>
  <si>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</si>
  <si>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</si>
  <si>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</si>
  <si>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</si>
  <si>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</si>
  <si>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</si>
  <si>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</si>
  <si>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</si>
  <si>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</si>
  <si>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</si>
  <si>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</si>
  <si>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</si>
  <si>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</si>
  <si>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</si>
  <si>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</si>
  <si>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</si>
  <si>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</si>
  <si>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</si>
  <si>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</si>
  <si>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</si>
  <si>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</si>
  <si>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</si>
  <si>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</si>
  <si>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</si>
  <si>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</si>
  <si>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</si>
  <si>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</si>
  <si>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</si>
  <si>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</si>
  <si>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</si>
  <si>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</si>
  <si>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</si>
  <si>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</si>
  <si>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</si>
  <si>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</si>
  <si>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</si>
  <si>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</si>
  <si>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</si>
  <si>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</si>
  <si>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</si>
  <si>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</si>
  <si>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</si>
  <si>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</si>
  <si>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</si>
  <si>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</si>
  <si>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</si>
  <si>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</si>
  <si>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</si>
  <si>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</si>
  <si>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</si>
  <si>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</si>
  <si>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</si>
  <si>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</si>
  <si>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</si>
  <si>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</si>
  <si>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</si>
  <si>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</si>
  <si>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</si>
  <si>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</si>
  <si>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</si>
  <si>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</si>
  <si>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</si>
  <si>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</si>
  <si>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</si>
  <si>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</si>
  <si>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</si>
  <si>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</si>
  <si>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</si>
  <si>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</si>
  <si>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</si>
  <si>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</si>
  <si>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</si>
  <si>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</si>
  <si>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</si>
  <si>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</si>
  <si>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</si>
  <si>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</si>
  <si>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</si>
  <si>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</si>
  <si>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</si>
  <si>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</si>
  <si>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</si>
  <si>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</si>
  <si>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</si>
  <si>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</si>
  <si>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</si>
  <si>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</si>
  <si>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</si>
  <si>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</si>
  <si>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</si>
  <si>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</si>
  <si>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</si>
  <si>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</si>
  <si>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</si>
  <si>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</si>
  <si>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</si>
  <si>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</si>
  <si>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</si>
  <si>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</si>
  <si>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</si>
  <si>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</si>
  <si>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</si>
  <si>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</si>
  <si>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</si>
  <si>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</si>
  <si>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</si>
  <si>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</si>
  <si>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</si>
  <si>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</si>
  <si>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</si>
  <si>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</si>
  <si>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</si>
  <si>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</si>
  <si>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</si>
  <si>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</si>
  <si>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</si>
  <si>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</si>
  <si>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</si>
  <si>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</si>
  <si>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</si>
  <si>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</si>
  <si>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</si>
  <si>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</si>
  <si>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</si>
  <si>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</si>
  <si>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</si>
  <si>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</si>
  <si>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</si>
  <si>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</si>
  <si>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</si>
  <si>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</si>
  <si>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</si>
  <si>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</si>
  <si>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</si>
  <si>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</si>
  <si>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</si>
  <si>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</si>
  <si>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</si>
  <si>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</si>
  <si>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</si>
  <si>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</si>
  <si>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</si>
  <si>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</si>
  <si>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</si>
  <si>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</si>
  <si>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</si>
  <si>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</si>
  <si>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</si>
  <si>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</si>
  <si>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</si>
  <si>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</si>
  <si>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</si>
  <si>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</si>
  <si>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</si>
  <si>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</si>
  <si>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</si>
  <si>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</si>
  <si>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</si>
  <si>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</si>
  <si>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</si>
  <si>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</si>
  <si>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</si>
  <si>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</si>
  <si>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</si>
  <si>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</si>
  <si>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</si>
  <si>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</si>
  <si>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</si>
  <si>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</si>
  <si>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</si>
  <si>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</si>
  <si>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</si>
  <si>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</si>
  <si>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</si>
  <si>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</si>
  <si>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</si>
  <si>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</si>
  <si>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</si>
  <si>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</si>
  <si>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</si>
  <si>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</si>
  <si>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</si>
  <si>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</si>
  <si>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</si>
  <si>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</si>
  <si>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</si>
  <si>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</si>
  <si>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</si>
  <si>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</si>
  <si>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</si>
  <si>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</si>
  <si>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</si>
  <si>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</si>
  <si>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</si>
  <si>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</si>
  <si>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</si>
  <si>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</si>
  <si>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</si>
  <si>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</si>
  <si>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</si>
  <si>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</si>
  <si>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</si>
  <si>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</si>
  <si>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</si>
  <si>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</si>
  <si>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</si>
  <si>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</si>
  <si>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</si>
  <si>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</si>
  <si>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</si>
  <si>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</si>
  <si>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</si>
  <si>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</si>
  <si>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</si>
  <si>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</si>
  <si>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</si>
  <si>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</si>
  <si>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</si>
  <si>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</si>
  <si>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</si>
  <si>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</si>
  <si>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</si>
  <si>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</si>
  <si>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</si>
  <si>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</si>
  <si>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</si>
  <si>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</si>
  <si>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</si>
  <si>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</si>
  <si>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</si>
  <si>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</si>
  <si>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</si>
  <si>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</si>
  <si>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</si>
  <si>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</si>
  <si>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</si>
  <si>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</si>
  <si>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</si>
  <si>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</si>
  <si>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</si>
  <si>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</si>
  <si>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</si>
  <si>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</si>
  <si>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</si>
  <si>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</si>
  <si>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</si>
  <si>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</si>
  <si>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</si>
  <si>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</si>
  <si>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</si>
  <si>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</si>
  <si>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</si>
  <si>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</si>
  <si>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</si>
  <si>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</si>
  <si>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</si>
  <si>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</si>
  <si>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</si>
  <si>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</si>
  <si>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</si>
  <si>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</si>
  <si>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</si>
  <si>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</si>
  <si>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</si>
  <si>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</si>
  <si>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</si>
  <si>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</si>
  <si>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</si>
  <si>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</si>
  <si>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</si>
  <si>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</si>
  <si>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</si>
  <si>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</si>
  <si>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</si>
  <si>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</si>
  <si>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</si>
  <si>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</si>
  <si>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</si>
  <si>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</si>
  <si>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</si>
  <si>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</si>
  <si>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</si>
  <si>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</si>
  <si>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</si>
  <si>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</si>
  <si>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</si>
  <si>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</si>
  <si>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</si>
  <si>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</si>
  <si>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</si>
  <si>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</si>
  <si>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</si>
  <si>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</si>
  <si>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</si>
  <si>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</si>
  <si>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</si>
  <si>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</si>
  <si>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</si>
  <si>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</si>
  <si>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</si>
  <si>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</si>
  <si>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</si>
  <si>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</si>
  <si>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</si>
  <si>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</si>
  <si>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</si>
  <si>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</si>
  <si>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</si>
  <si>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</si>
  <si>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</si>
  <si>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</si>
  <si>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</si>
  <si>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</si>
  <si>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</si>
  <si>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</si>
  <si>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</si>
  <si>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</si>
  <si>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</si>
  <si>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</si>
  <si>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</si>
  <si>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</si>
  <si>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</si>
  <si>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</si>
  <si>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</si>
  <si>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</si>
  <si>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</si>
  <si>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</si>
  <si>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</si>
  <si>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</si>
  <si>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</si>
  <si>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</si>
  <si>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</si>
  <si>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</si>
  <si>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</si>
  <si>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</si>
  <si>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</si>
  <si>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</si>
  <si>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</si>
  <si>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</si>
  <si>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</si>
  <si>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</si>
  <si>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</si>
  <si>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</si>
  <si>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</si>
  <si>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</si>
  <si>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</si>
  <si>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</si>
  <si>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</si>
  <si>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</si>
  <si>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</si>
  <si>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</si>
  <si>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</si>
  <si>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</si>
  <si>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</si>
  <si>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</si>
  <si>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</si>
  <si>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</si>
  <si>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</si>
  <si>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</si>
  <si>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</si>
  <si>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</si>
  <si>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</si>
  <si>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</si>
  <si>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</si>
  <si>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</si>
  <si>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</si>
  <si>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</si>
  <si>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</si>
  <si>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</si>
  <si>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</si>
  <si>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</si>
  <si>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</si>
  <si>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</si>
  <si>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</si>
  <si>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</si>
  <si>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</si>
  <si>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</si>
  <si>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</si>
  <si>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</si>
  <si>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</si>
  <si>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</si>
  <si>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</si>
  <si>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</si>
  <si>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</si>
  <si>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</si>
  <si>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</si>
  <si>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</si>
  <si>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</si>
  <si>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</si>
  <si>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</si>
  <si>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</si>
  <si>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</si>
  <si>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</si>
  <si>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</si>
  <si>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</si>
  <si>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</si>
  <si>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</si>
  <si>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</si>
  <si>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</si>
  <si>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</si>
  <si>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</si>
  <si>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</si>
  <si>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</si>
  <si>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</si>
  <si>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</si>
  <si>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</si>
  <si>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</si>
  <si>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</si>
  <si>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</si>
  <si>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</si>
  <si>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</si>
  <si>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</si>
  <si>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</si>
  <si>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</si>
  <si>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</si>
  <si>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</si>
  <si>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</si>
  <si>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</si>
  <si>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</si>
  <si>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</si>
  <si>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</si>
  <si>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</si>
  <si>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</si>
  <si>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</si>
  <si>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</si>
  <si>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</si>
  <si>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</si>
  <si>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</si>
  <si>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</si>
  <si>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</si>
  <si>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</si>
  <si>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</si>
  <si>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</si>
  <si>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</si>
  <si>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</si>
  <si>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</si>
  <si>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</si>
  <si>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</si>
  <si>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</si>
  <si>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</si>
  <si>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</si>
  <si>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</si>
  <si>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</si>
  <si>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</si>
  <si>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</si>
  <si>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</si>
  <si>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</si>
  <si>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</si>
  <si>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</si>
  <si>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</si>
  <si>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</si>
  <si>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</si>
  <si>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</si>
  <si>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</si>
  <si>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</si>
  <si>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</si>
  <si>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</si>
  <si>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</si>
  <si>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</si>
  <si>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</si>
  <si>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</si>
  <si>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</si>
  <si>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</si>
  <si>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</si>
  <si>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</si>
  <si>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</si>
  <si>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</si>
  <si>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</si>
  <si>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</si>
  <si>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</si>
  <si>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</si>
  <si>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</si>
  <si>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</si>
  <si>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</si>
  <si>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</si>
  <si>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</si>
  <si>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</si>
  <si>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</si>
  <si>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</si>
  <si>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</si>
  <si>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</si>
  <si>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</si>
  <si>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</si>
  <si>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</si>
  <si>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</si>
  <si>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</si>
  <si>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</si>
  <si>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</si>
  <si>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</si>
  <si>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</si>
  <si>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</si>
  <si>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</si>
  <si>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</si>
  <si>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</si>
  <si>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</si>
  <si>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</si>
  <si>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</si>
  <si>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</si>
  <si>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</si>
  <si>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</si>
  <si>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</si>
  <si>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</si>
  <si>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</si>
  <si>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</si>
  <si>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</si>
  <si>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</si>
  <si>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</si>
  <si>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</si>
  <si>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</si>
  <si>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</si>
  <si>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</si>
  <si>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</si>
  <si>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</si>
  <si>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</si>
  <si>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</si>
  <si>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</si>
  <si>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</si>
  <si>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</si>
  <si>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</si>
  <si>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</si>
  <si>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</si>
  <si>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</si>
  <si>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</si>
  <si>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</si>
  <si>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</si>
  <si>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</si>
  <si>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</si>
  <si>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</si>
  <si>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</si>
  <si>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</si>
  <si>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</si>
  <si>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</si>
  <si>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</si>
  <si>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</si>
  <si>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</si>
  <si>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</si>
  <si>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</si>
  <si>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</si>
  <si>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</si>
  <si>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</si>
  <si>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</si>
  <si>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</si>
  <si>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</si>
  <si>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</si>
  <si>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</si>
  <si>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</si>
  <si>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</si>
  <si>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</si>
  <si>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</si>
  <si>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</si>
  <si>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</si>
  <si>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</si>
  <si>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</si>
  <si>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</si>
  <si>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</si>
  <si>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</si>
  <si>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</si>
  <si>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</si>
  <si>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</si>
  <si>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</si>
  <si>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</si>
  <si>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</si>
  <si>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</si>
  <si>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</si>
  <si>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</si>
  <si>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</si>
  <si>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</si>
  <si>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</si>
  <si>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</si>
  <si>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</si>
  <si>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</si>
  <si>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</si>
  <si>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</si>
  <si>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</si>
  <si>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</si>
  <si>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</si>
  <si>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</si>
  <si>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</si>
  <si>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</si>
  <si>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</si>
  <si>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</si>
  <si>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</si>
  <si>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</si>
  <si>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</si>
  <si>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</si>
  <si>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</si>
  <si>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</si>
  <si>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</si>
  <si>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</si>
  <si>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</si>
  <si>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</si>
  <si>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</si>
  <si>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</si>
  <si>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</si>
  <si>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</si>
  <si>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</si>
  <si>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</si>
  <si>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</si>
  <si>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</si>
  <si>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</si>
  <si>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</si>
  <si>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</si>
  <si>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</si>
  <si>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</si>
  <si>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</si>
  <si>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</si>
  <si>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</si>
  <si>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</si>
  <si>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</si>
  <si>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</si>
  <si>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</si>
  <si>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</si>
  <si>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</si>
  <si>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</si>
  <si>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</si>
  <si>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</si>
  <si>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</si>
  <si>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</si>
  <si>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</si>
  <si>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</si>
  <si>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</si>
  <si>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</si>
  <si>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</si>
  <si>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</si>
  <si>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</si>
  <si>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</si>
  <si>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</si>
  <si>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</si>
  <si>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</si>
  <si>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</si>
  <si>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</si>
  <si>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</si>
  <si>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</si>
  <si>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</si>
  <si>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</si>
  <si>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</si>
  <si>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</si>
  <si>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</si>
  <si>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</si>
  <si>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</si>
  <si>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</si>
  <si>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</si>
  <si>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</si>
  <si>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</si>
  <si>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</si>
  <si>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</si>
  <si>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</si>
  <si>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</si>
  <si>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</si>
  <si>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</si>
  <si>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</si>
  <si>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</si>
  <si>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</si>
  <si>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</si>
  <si>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</si>
  <si>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</si>
  <si>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</si>
  <si>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</si>
  <si>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</si>
  <si>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</si>
  <si>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</si>
  <si>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</si>
  <si>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</si>
  <si>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</si>
  <si>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</si>
  <si>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</si>
  <si>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</si>
  <si>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</si>
  <si>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</si>
  <si>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</si>
  <si>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</si>
  <si>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</si>
  <si>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</si>
  <si>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</si>
  <si>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</si>
  <si>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</si>
  <si>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</si>
  <si>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</si>
  <si>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</si>
  <si>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</si>
  <si>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</si>
  <si>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</si>
  <si>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</si>
  <si>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</si>
  <si>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</si>
  <si>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</si>
  <si>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</si>
  <si>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</si>
  <si>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</si>
  <si>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</si>
  <si>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</si>
  <si>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</si>
  <si>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</si>
  <si>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</si>
  <si>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</si>
  <si>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</si>
  <si>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</si>
  <si>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</si>
  <si>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</si>
  <si>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</si>
  <si>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</si>
  <si>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</si>
  <si>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</si>
  <si>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</si>
  <si>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</si>
  <si>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</si>
  <si>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</si>
  <si>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</si>
  <si>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</si>
  <si>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</si>
  <si>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</si>
  <si>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</si>
  <si>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</si>
  <si>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</si>
  <si>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</si>
  <si>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</si>
  <si>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</si>
  <si>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</si>
  <si>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</si>
  <si>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</si>
  <si>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</si>
  <si>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</si>
  <si>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</si>
  <si>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</si>
  <si>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</si>
  <si>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</si>
  <si>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</si>
  <si>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</si>
  <si>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</si>
  <si>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</si>
  <si>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</si>
  <si>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</si>
  <si>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</si>
  <si>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</si>
  <si>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</si>
  <si>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</si>
  <si>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</si>
  <si>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</si>
  <si>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</si>
  <si>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</si>
  <si>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</si>
  <si>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</si>
  <si>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</si>
  <si>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</si>
  <si>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</si>
  <si>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</si>
  <si>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</si>
  <si>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</si>
  <si>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</si>
  <si>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</si>
  <si>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</si>
  <si>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</si>
  <si>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</si>
  <si>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</si>
  <si>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</si>
  <si>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</si>
  <si>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</si>
  <si>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</si>
  <si>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</si>
  <si>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</si>
  <si>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</si>
  <si>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</si>
  <si>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</si>
  <si>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</si>
  <si>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</si>
  <si>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</si>
  <si>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</si>
  <si>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</si>
  <si>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</si>
  <si>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</si>
  <si>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</si>
  <si>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</si>
  <si>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</si>
  <si>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</si>
  <si>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</si>
  <si>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</si>
  <si>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</si>
  <si>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</si>
  <si>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</si>
  <si>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</si>
  <si>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</si>
  <si>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</si>
  <si>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</si>
  <si>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</si>
  <si>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</si>
  <si>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</si>
  <si>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</si>
  <si>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</si>
  <si>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</si>
  <si>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</si>
  <si>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</si>
  <si>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</si>
  <si>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</si>
  <si>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</si>
  <si>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</si>
  <si>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</si>
  <si>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</si>
  <si>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</si>
  <si>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</si>
  <si>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</si>
  <si>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</si>
  <si>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</si>
  <si>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</si>
  <si>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</si>
  <si>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</si>
  <si>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</si>
  <si>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</si>
  <si>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</si>
  <si>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</si>
  <si>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</si>
  <si>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</si>
  <si>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</si>
  <si>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</si>
  <si>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</si>
  <si>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</si>
  <si>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</si>
  <si>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</si>
  <si>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</si>
  <si>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</si>
  <si>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</si>
  <si>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</si>
  <si>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</si>
  <si>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</si>
  <si>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</si>
  <si>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</si>
  <si>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</si>
  <si>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</si>
  <si>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</si>
  <si>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</si>
  <si>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</si>
  <si>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</si>
  <si>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</si>
  <si>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</si>
  <si>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</si>
  <si>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</si>
  <si>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</si>
  <si>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</si>
  <si>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</si>
  <si>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</si>
  <si>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</si>
  <si>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</si>
  <si>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</si>
  <si>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</si>
  <si>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</si>
  <si>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</si>
  <si>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</si>
  <si>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</si>
  <si>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</si>
  <si>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</si>
  <si>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</si>
  <si>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</si>
  <si>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</si>
  <si>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</si>
  <si>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</si>
  <si>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</si>
  <si>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</si>
  <si>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</si>
  <si>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</si>
  <si>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</si>
  <si>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</si>
  <si>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</si>
  <si>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</si>
  <si>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</si>
  <si>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</si>
  <si>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</si>
  <si>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</si>
  <si>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</si>
  <si>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</si>
  <si>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</si>
  <si>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</si>
  <si>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</si>
  <si>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</si>
  <si>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</si>
  <si>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</si>
  <si>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</si>
  <si>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</si>
  <si>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</si>
  <si>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</si>
  <si>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</si>
  <si>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</si>
  <si>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</si>
  <si>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</si>
  <si>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</si>
  <si>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</si>
  <si>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</si>
  <si>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</si>
  <si>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</si>
  <si>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</si>
  <si>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</si>
  <si>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</si>
  <si>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</si>
  <si>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</si>
  <si>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</si>
  <si>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</si>
  <si>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</si>
  <si>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</si>
  <si>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</si>
  <si>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</si>
  <si>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</si>
  <si>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</si>
  <si>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</si>
  <si>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</si>
  <si>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</si>
  <si>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</si>
  <si>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</si>
  <si>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</si>
  <si>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</si>
  <si>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</si>
  <si>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</si>
  <si>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</si>
  <si>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</si>
  <si>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</si>
  <si>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</si>
  <si>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</si>
  <si>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</si>
  <si>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</si>
  <si>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</si>
  <si>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</si>
  <si>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</si>
  <si>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</si>
  <si>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</si>
  <si>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</si>
  <si>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</si>
  <si>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</si>
  <si>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</si>
  <si>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</si>
  <si>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</si>
  <si>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</si>
  <si>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</si>
  <si>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</si>
  <si>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</si>
  <si>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</si>
  <si>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</si>
  <si>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</si>
  <si>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</si>
  <si>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</si>
  <si>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</si>
  <si>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</si>
  <si>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</si>
  <si>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</si>
  <si>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</si>
  <si>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</si>
  <si>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</si>
  <si>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</si>
  <si>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</si>
  <si>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</si>
  <si>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</si>
  <si>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</si>
  <si>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</si>
  <si>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</si>
  <si>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</si>
  <si>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</si>
  <si>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</si>
  <si>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</si>
  <si>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</si>
  <si>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</si>
  <si>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</si>
  <si>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</si>
  <si>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</si>
  <si>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</si>
  <si>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</si>
  <si>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</si>
  <si>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</si>
  <si>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</si>
  <si>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</si>
  <si>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</si>
  <si>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</si>
  <si>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</si>
  <si>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</si>
  <si>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</si>
  <si>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</si>
  <si>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</si>
  <si>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</si>
  <si>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</si>
  <si>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</si>
  <si>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</si>
  <si>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</si>
  <si>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</si>
  <si>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</si>
  <si>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</si>
  <si>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</si>
  <si>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</si>
  <si>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</si>
  <si>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</si>
  <si>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</si>
  <si>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</si>
  <si>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</si>
  <si>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</si>
  <si>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</si>
  <si>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</si>
  <si>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</si>
  <si>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</si>
  <si>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</si>
  <si>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</si>
  <si>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</si>
  <si>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</si>
  <si>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</si>
  <si>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</si>
  <si>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</si>
  <si>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</si>
  <si>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</si>
  <si>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</si>
  <si>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</si>
  <si>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</si>
  <si>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</si>
  <si>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</si>
  <si>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</si>
  <si>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</si>
  <si>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</si>
  <si>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</si>
  <si>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</si>
  <si>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</si>
  <si>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</si>
  <si>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</si>
  <si>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</si>
  <si>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</si>
  <si>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</si>
  <si>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</si>
  <si>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</si>
  <si>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</si>
  <si>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</si>
  <si>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</si>
  <si>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</si>
  <si>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</si>
  <si>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</si>
  <si>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</si>
  <si>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</si>
  <si>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</si>
  <si>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</si>
  <si>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</si>
  <si>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</si>
  <si>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</si>
  <si>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</si>
  <si>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</si>
  <si>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</si>
  <si>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</si>
  <si>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</si>
  <si>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</si>
  <si>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</si>
  <si>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</si>
  <si>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</si>
  <si>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</si>
  <si>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</si>
  <si>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</si>
  <si>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</si>
  <si>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</si>
  <si>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</si>
  <si>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</si>
  <si>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</si>
  <si>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</si>
  <si>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</si>
  <si>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</si>
  <si>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</si>
  <si>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</si>
  <si>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</si>
  <si>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</si>
  <si>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</si>
  <si>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</si>
  <si>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</si>
  <si>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</si>
  <si>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</si>
  <si>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</si>
  <si>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</si>
  <si>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</si>
  <si>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</si>
  <si>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</si>
  <si>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</si>
  <si>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</si>
  <si>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</si>
  <si>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</si>
  <si>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</si>
  <si>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</si>
  <si>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</si>
  <si>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</si>
  <si>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</si>
  <si>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</si>
  <si>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</si>
  <si>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</si>
  <si>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</si>
  <si>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</si>
  <si>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</si>
  <si>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</si>
  <si>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</si>
  <si>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</si>
  <si>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</si>
  <si>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</si>
  <si>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</si>
  <si>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</si>
  <si>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</si>
  <si>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</si>
  <si>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</si>
  <si>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</si>
  <si>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</si>
  <si>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</si>
  <si>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</si>
  <si>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</si>
  <si>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</si>
  <si>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</si>
  <si>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</si>
  <si>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</si>
  <si>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</si>
  <si>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</si>
  <si>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</si>
  <si>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</si>
  <si>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</si>
  <si>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</si>
  <si>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</si>
  <si>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</si>
  <si>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</si>
  <si>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</si>
  <si>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</si>
  <si>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</si>
  <si>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</si>
  <si>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</si>
  <si>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</si>
  <si>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</si>
  <si>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</si>
  <si>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</si>
  <si>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</si>
  <si>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</si>
  <si>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</si>
  <si>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</si>
  <si>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</si>
  <si>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</si>
  <si>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</si>
  <si>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</si>
  <si>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</si>
  <si>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</si>
  <si>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</si>
  <si>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</si>
  <si>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</si>
  <si>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</si>
  <si>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</si>
  <si>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</si>
  <si>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</si>
  <si>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</si>
  <si>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</si>
  <si>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</si>
  <si>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</si>
  <si>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</si>
  <si>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</si>
  <si>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</si>
  <si>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</si>
  <si>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</si>
  <si>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</si>
  <si>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</si>
  <si>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</si>
  <si>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</si>
  <si>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</si>
  <si>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</si>
  <si>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</si>
  <si>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</si>
  <si>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</si>
  <si>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</si>
  <si>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</si>
  <si>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</si>
  <si>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</si>
  <si>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</si>
  <si>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</si>
  <si>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</si>
  <si>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</si>
  <si>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</si>
  <si>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</si>
  <si>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</si>
  <si>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</si>
  <si>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</si>
  <si>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</si>
  <si>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</si>
  <si>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</si>
  <si>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</si>
  <si>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</si>
  <si>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</si>
  <si>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</si>
  <si>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</si>
  <si>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</si>
  <si>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</si>
  <si>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</si>
  <si>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</si>
  <si>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</si>
  <si>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</si>
  <si>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</si>
  <si>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</si>
  <si>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</si>
  <si>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</si>
  <si>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</si>
  <si>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</si>
  <si>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</si>
  <si>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</si>
  <si>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</si>
  <si>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</si>
  <si>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</si>
  <si>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</si>
  <si>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</si>
  <si>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</si>
  <si>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</si>
  <si>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</si>
  <si>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</si>
  <si>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</si>
  <si>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</si>
  <si>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</si>
  <si>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</si>
  <si>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</si>
  <si>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</si>
  <si>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</si>
  <si>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</si>
  <si>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</si>
  <si>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</si>
  <si>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</si>
  <si>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</si>
  <si>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</si>
  <si>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</si>
  <si>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</si>
  <si>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</si>
  <si>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</si>
  <si>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</si>
  <si>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</si>
  <si>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</si>
  <si>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</si>
  <si>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</si>
  <si>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</si>
  <si>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</si>
  <si>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</si>
  <si>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</si>
  <si>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</si>
  <si>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</si>
  <si>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</si>
  <si>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</si>
  <si>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</si>
  <si>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</si>
  <si>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</si>
  <si>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</si>
  <si>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</si>
  <si>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</si>
  <si>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</si>
  <si>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</si>
  <si>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</si>
  <si>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</si>
  <si>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</si>
  <si>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</si>
  <si>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</si>
  <si>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</si>
  <si>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</si>
  <si>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</si>
  <si>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</si>
  <si>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</si>
  <si>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</si>
  <si>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</si>
  <si>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</si>
  <si>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</si>
  <si>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</si>
  <si>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</si>
  <si>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</si>
  <si>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</si>
  <si>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</si>
  <si>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</si>
  <si>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</si>
  <si>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</si>
  <si>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</si>
  <si>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</si>
  <si>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</si>
  <si>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</si>
  <si>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</si>
  <si>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</si>
  <si>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</si>
  <si>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</si>
  <si>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</si>
  <si>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</si>
  <si>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</si>
  <si>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</si>
  <si>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</si>
  <si>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</si>
  <si>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</si>
  <si>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</si>
  <si>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</si>
  <si>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</si>
  <si>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</si>
  <si>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</si>
  <si>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</si>
  <si>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</si>
  <si>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</si>
  <si>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</si>
  <si>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</si>
  <si>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</si>
  <si>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</si>
  <si>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</si>
  <si>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</si>
  <si>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</si>
  <si>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</si>
  <si>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</si>
  <si>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</si>
  <si>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</si>
  <si>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</si>
  <si>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</si>
  <si>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</si>
  <si>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</si>
  <si>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</si>
  <si>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</si>
  <si>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</si>
  <si>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</si>
  <si>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</si>
  <si>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</si>
  <si>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</si>
  <si>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</si>
  <si>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</si>
  <si>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</si>
  <si>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</si>
  <si>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</si>
  <si>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</si>
  <si>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</si>
  <si>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</si>
  <si>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</si>
  <si>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</si>
  <si>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</si>
  <si>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</si>
  <si>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</si>
  <si>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</si>
  <si>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</si>
  <si>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</si>
  <si>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</si>
  <si>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</si>
  <si>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</si>
  <si>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</si>
  <si>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</si>
  <si>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</si>
  <si>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</si>
  <si>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</si>
  <si>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</si>
  <si>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</si>
  <si>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</si>
  <si>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</si>
  <si>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</si>
  <si>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</si>
  <si>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</si>
  <si>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</si>
  <si>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</si>
  <si>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</si>
  <si>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</si>
  <si>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</si>
  <si>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</si>
  <si>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</si>
  <si>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</si>
  <si>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</si>
  <si>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</si>
  <si>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</si>
  <si>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</si>
  <si>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</si>
  <si>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</si>
  <si>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</si>
  <si>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</si>
  <si>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</si>
  <si>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</si>
  <si>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</si>
  <si>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</si>
  <si>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</si>
  <si>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</si>
  <si>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</si>
  <si>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</si>
  <si>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</si>
  <si>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</si>
  <si>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</si>
  <si>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</si>
  <si>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</si>
  <si>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</si>
  <si>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</si>
  <si>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</si>
  <si>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</si>
  <si>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</si>
  <si>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</si>
  <si>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</si>
  <si>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</si>
  <si>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</si>
  <si>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</si>
  <si>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</si>
  <si>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</si>
  <si>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</si>
  <si>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</si>
  <si>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</si>
  <si>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</si>
  <si>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</si>
  <si>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</si>
  <si>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</si>
  <si>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</si>
  <si>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</si>
  <si>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</si>
  <si>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</si>
  <si>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</si>
  <si>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</si>
  <si>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</si>
  <si>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</si>
  <si>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</si>
  <si>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</si>
  <si>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</si>
  <si>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</si>
  <si>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</si>
  <si>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</si>
  <si>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</si>
  <si>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</si>
  <si>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</si>
  <si>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</si>
  <si>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</si>
  <si>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</si>
  <si>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</si>
  <si>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</si>
  <si>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</si>
  <si>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</si>
  <si>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</si>
  <si>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</si>
  <si>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</si>
  <si>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</si>
  <si>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</si>
  <si>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</si>
  <si>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</si>
  <si>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</si>
  <si>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</si>
  <si>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</si>
  <si>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</si>
  <si>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</si>
  <si>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</si>
  <si>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</si>
  <si>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</si>
  <si>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</si>
  <si>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</si>
  <si>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</si>
  <si>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</si>
  <si>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</si>
  <si>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</si>
  <si>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</si>
  <si>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</si>
  <si>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</si>
  <si>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</si>
  <si>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</si>
  <si>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</si>
  <si>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</si>
  <si>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</si>
  <si>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</si>
  <si>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</si>
  <si>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</si>
  <si>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</si>
  <si>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</si>
  <si>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</si>
  <si>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</si>
  <si>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</si>
  <si>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</si>
  <si>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</si>
  <si>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</si>
  <si>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</si>
  <si>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</si>
  <si>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</si>
  <si>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</si>
  <si>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</si>
  <si>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</si>
  <si>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</si>
  <si>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</si>
  <si>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</si>
  <si>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</si>
  <si>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</si>
  <si>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</si>
  <si>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</si>
  <si>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</si>
  <si>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</si>
  <si>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</si>
  <si>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</si>
  <si>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</si>
  <si>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</si>
  <si>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</si>
  <si>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</si>
  <si>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</si>
  <si>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</si>
  <si>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</si>
  <si>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</si>
  <si>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</si>
  <si>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</si>
  <si>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</si>
  <si>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</si>
  <si>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</si>
  <si>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</si>
  <si>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</si>
  <si>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</si>
  <si>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</si>
  <si>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</si>
  <si>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</si>
  <si>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</si>
  <si>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</si>
  <si>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</si>
  <si>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</si>
  <si>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</si>
  <si>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</si>
  <si>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</si>
  <si>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</si>
  <si>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</si>
  <si>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</si>
  <si>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</si>
  <si>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</si>
  <si>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</si>
  <si>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</si>
  <si>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</si>
  <si>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</si>
  <si>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</si>
  <si>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</si>
  <si>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</si>
  <si>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</si>
  <si>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</si>
  <si>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</si>
  <si>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</si>
  <si>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</si>
  <si>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</si>
  <si>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</si>
  <si>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</si>
  <si>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</si>
  <si>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</si>
  <si>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</si>
  <si>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</si>
  <si>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</si>
  <si>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</si>
  <si>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</si>
  <si>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</si>
  <si>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</si>
  <si>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</si>
  <si>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</si>
  <si>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</si>
  <si>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</si>
  <si>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</si>
  <si>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</si>
  <si>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</si>
  <si>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</si>
  <si>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</si>
  <si>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</si>
  <si>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</si>
  <si>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</si>
  <si>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</si>
  <si>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</si>
  <si>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</si>
  <si>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</si>
  <si>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</si>
  <si>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</si>
  <si>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</si>
  <si>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</si>
  <si>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</si>
  <si>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</si>
  <si>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</si>
  <si>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</si>
  <si>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</si>
  <si>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</si>
  <si>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</si>
  <si>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</si>
  <si>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</si>
  <si>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</si>
  <si>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</si>
  <si>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</si>
  <si>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</si>
  <si>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</si>
  <si>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</si>
  <si>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</si>
  <si>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</si>
  <si>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</si>
  <si>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</si>
  <si>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</si>
  <si>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</si>
  <si>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</si>
  <si>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</si>
  <si>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</si>
  <si>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</si>
  <si>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</si>
  <si>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</si>
  <si>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</si>
  <si>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</si>
  <si>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</si>
  <si>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</si>
  <si>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</si>
  <si>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</si>
  <si>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</si>
  <si>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</si>
  <si>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</si>
  <si>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</si>
  <si>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</si>
  <si>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</si>
  <si>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</si>
  <si>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</si>
  <si>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</si>
  <si>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</si>
  <si>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</si>
  <si>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</si>
  <si>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</si>
  <si>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</si>
  <si>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</si>
  <si>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</si>
  <si>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</si>
  <si>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</si>
  <si>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</si>
  <si>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</si>
  <si>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</si>
  <si>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</si>
  <si>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</si>
  <si>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</si>
  <si>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</si>
  <si>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</si>
  <si>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</si>
  <si>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</si>
  <si>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</si>
  <si>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</si>
  <si>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</si>
  <si>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</si>
  <si>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</si>
  <si>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</si>
  <si>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</si>
  <si>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</si>
  <si>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</si>
  <si>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</si>
  <si>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</si>
  <si>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</si>
  <si>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</si>
  <si>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</si>
  <si>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</si>
  <si>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</si>
  <si>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</si>
  <si>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</si>
  <si>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</si>
  <si>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</si>
  <si>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</si>
  <si>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</si>
  <si>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</si>
  <si>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</si>
  <si>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</si>
  <si>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</si>
  <si>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</si>
  <si>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</si>
  <si>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</si>
  <si>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</si>
  <si>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</si>
  <si>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</si>
  <si>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</si>
  <si>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</si>
  <si>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</si>
  <si>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</si>
  <si>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</si>
  <si>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</si>
  <si>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</si>
  <si>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</si>
  <si>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</si>
  <si>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</si>
  <si>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</si>
  <si>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</si>
  <si>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</si>
  <si>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</si>
  <si>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</si>
  <si>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</si>
  <si>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</si>
  <si>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</si>
  <si>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</si>
  <si>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</si>
  <si>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</si>
  <si>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</si>
  <si>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</si>
  <si>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</si>
  <si>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</si>
  <si>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</si>
  <si>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</si>
  <si>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</si>
  <si>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</si>
  <si>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</si>
  <si>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</si>
  <si>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</si>
  <si>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</si>
  <si>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</si>
  <si>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</si>
  <si>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</si>
  <si>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</si>
  <si>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</si>
  <si>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</si>
  <si>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</si>
  <si>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</si>
  <si>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</si>
  <si>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</si>
  <si>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</si>
  <si>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</si>
  <si>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</si>
  <si>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</si>
  <si>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</si>
  <si>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</si>
  <si>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</si>
  <si>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</si>
  <si>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</si>
  <si>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</si>
  <si>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</si>
  <si>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</si>
  <si>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</si>
  <si>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</si>
  <si>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</si>
  <si>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</si>
  <si>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</si>
  <si>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</si>
  <si>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</si>
  <si>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</si>
  <si>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</si>
  <si>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</si>
  <si>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</si>
  <si>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</si>
  <si>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</si>
  <si>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</si>
  <si>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</si>
  <si>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</si>
  <si>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</si>
  <si>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</si>
  <si>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</si>
  <si>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</si>
  <si>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</si>
  <si>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</si>
  <si>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</si>
  <si>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</si>
  <si>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</si>
  <si>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</si>
  <si>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</si>
  <si>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</si>
  <si>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</si>
  <si>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</si>
  <si>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</si>
  <si>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</si>
  <si>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</si>
  <si>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</si>
  <si>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</si>
  <si>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</si>
  <si>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</si>
  <si>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</si>
  <si>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</si>
  <si>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</si>
  <si>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</si>
  <si>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</si>
  <si>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</si>
  <si>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</si>
  <si>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</si>
  <si>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</si>
  <si>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</si>
  <si>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</si>
  <si>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</si>
  <si>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</si>
  <si>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</si>
  <si>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</si>
  <si>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</si>
  <si>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</si>
  <si>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</si>
  <si>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</si>
  <si>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</si>
  <si>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</si>
  <si>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</si>
  <si>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</si>
  <si>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</si>
  <si>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</si>
  <si>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</si>
  <si>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</si>
  <si>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</si>
  <si>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</si>
  <si>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</si>
  <si>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</si>
  <si>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</si>
  <si>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</si>
  <si>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</si>
  <si>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</si>
  <si>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</si>
  <si>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</si>
  <si>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</si>
  <si>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</si>
  <si>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</si>
  <si>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</si>
  <si>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</si>
  <si>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</si>
  <si>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</si>
  <si>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</si>
  <si>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</si>
  <si>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</si>
  <si>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</si>
  <si>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</si>
  <si>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</si>
  <si>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</si>
  <si>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</si>
  <si>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</si>
  <si>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</si>
  <si>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</si>
  <si>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</si>
  <si>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</si>
  <si>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</si>
  <si>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</si>
  <si>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</si>
  <si>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</si>
  <si>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</si>
  <si>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</si>
  <si>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</si>
  <si>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</si>
  <si>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</si>
  <si>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</si>
  <si>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</si>
  <si>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</si>
  <si>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</si>
  <si>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</si>
  <si>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</si>
  <si>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</si>
  <si>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</si>
  <si>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</si>
  <si>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</si>
  <si>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</si>
  <si>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</si>
  <si>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</si>
  <si>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</si>
  <si>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</si>
  <si>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</si>
  <si>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</si>
  <si>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</si>
  <si>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</si>
  <si>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</si>
  <si>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</si>
  <si>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</si>
  <si>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</si>
  <si>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</si>
  <si>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</si>
  <si>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</si>
  <si>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</si>
  <si>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</si>
  <si>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</si>
  <si>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</si>
  <si>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</si>
  <si>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</si>
  <si>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</si>
  <si>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</si>
  <si>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</si>
  <si>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</si>
  <si>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</si>
  <si>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</si>
  <si>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</si>
  <si>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</si>
  <si>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</si>
  <si>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</si>
  <si>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</si>
  <si>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</si>
  <si>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</si>
  <si>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</si>
  <si>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</si>
  <si>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</si>
  <si>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</si>
  <si>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</si>
  <si>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</si>
  <si>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</si>
  <si>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</si>
  <si>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</si>
  <si>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</si>
  <si>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</si>
  <si>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</si>
  <si>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</si>
  <si>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</si>
  <si>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</si>
  <si>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</si>
  <si>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</si>
  <si>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</si>
  <si>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</si>
  <si>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</si>
  <si>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</si>
  <si>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</si>
  <si>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</si>
  <si>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</si>
  <si>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</si>
  <si>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</si>
  <si>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</si>
  <si>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</si>
  <si>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</si>
  <si>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</si>
  <si>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</si>
  <si>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</si>
  <si>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</si>
  <si>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</si>
  <si>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</si>
  <si>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</si>
  <si>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</si>
  <si>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</si>
  <si>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</si>
  <si>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</si>
  <si>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</si>
  <si>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</si>
  <si>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</si>
  <si>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</si>
  <si>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</si>
  <si>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</si>
  <si>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</si>
  <si>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</si>
  <si>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</si>
  <si>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</si>
  <si>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</si>
  <si>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</si>
  <si>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</si>
  <si>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</si>
  <si>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</si>
  <si>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</si>
  <si>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</si>
  <si>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</si>
  <si>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</si>
  <si>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</si>
  <si>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</si>
  <si>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</si>
  <si>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</si>
  <si>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</si>
  <si>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</si>
  <si>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</si>
  <si>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</si>
  <si>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</si>
  <si>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</si>
  <si>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</si>
  <si>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</si>
  <si>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</si>
  <si>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</si>
  <si>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</si>
  <si>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</si>
  <si>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</si>
  <si>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</si>
  <si>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</si>
  <si>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</si>
  <si>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</si>
  <si>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</si>
  <si>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</si>
  <si>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</si>
  <si>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</si>
  <si>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</si>
  <si>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</si>
  <si>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</si>
  <si>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</si>
  <si>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</si>
  <si>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</si>
  <si>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</si>
  <si>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</si>
  <si>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</si>
  <si>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</si>
  <si>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</si>
  <si>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</si>
  <si>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</si>
  <si>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</si>
  <si>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</si>
  <si>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</si>
  <si>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</si>
  <si>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</si>
  <si>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</si>
  <si>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</si>
  <si>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</si>
  <si>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</si>
  <si>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</si>
  <si>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</si>
  <si>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</si>
  <si>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</si>
  <si>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</si>
  <si>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</si>
  <si>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</si>
  <si>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</si>
  <si>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</si>
  <si>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</si>
  <si>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</si>
  <si>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</si>
  <si>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</si>
  <si>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</si>
  <si>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</si>
  <si>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</si>
  <si>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</si>
  <si>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</si>
  <si>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</si>
  <si>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</si>
  <si>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</si>
  <si>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</si>
  <si>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</si>
  <si>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</si>
  <si>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</si>
  <si>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</si>
  <si>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</si>
  <si>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</si>
  <si>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</si>
  <si>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</si>
  <si>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</si>
  <si>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</si>
  <si>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</si>
  <si>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</si>
  <si>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</si>
  <si>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</si>
  <si>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</si>
  <si>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</si>
  <si>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</si>
  <si>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</si>
  <si>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</si>
  <si>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</si>
  <si>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</si>
  <si>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</si>
  <si>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</si>
  <si>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</si>
  <si>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</si>
  <si>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</si>
  <si>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</si>
  <si>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</si>
  <si>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</si>
  <si>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</si>
  <si>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</si>
  <si>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</si>
  <si>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</si>
  <si>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</si>
  <si>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</si>
  <si>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</si>
  <si>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</si>
  <si>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</si>
  <si>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</si>
  <si>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</si>
  <si>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</si>
  <si>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</si>
  <si>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</si>
  <si>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</si>
  <si>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</si>
  <si>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</si>
  <si>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</si>
  <si>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</si>
  <si>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</si>
  <si>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</si>
  <si>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</si>
  <si>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</si>
  <si>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</si>
  <si>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</si>
  <si>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</si>
  <si>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</si>
  <si>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</si>
  <si>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</si>
  <si>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</si>
  <si>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</si>
  <si>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</si>
  <si>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</si>
  <si>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</si>
  <si>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</si>
  <si>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</si>
  <si>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</si>
  <si>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</si>
  <si>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</si>
  <si>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</si>
  <si>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</si>
  <si>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</si>
  <si>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</si>
  <si>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</si>
  <si>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</si>
  <si>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</si>
  <si>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</si>
  <si>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</si>
  <si>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</si>
  <si>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</si>
  <si>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</si>
  <si>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</si>
  <si>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</si>
  <si>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</si>
  <si>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</si>
  <si>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</si>
  <si>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</si>
  <si>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</si>
  <si>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</si>
  <si>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</si>
  <si>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</si>
  <si>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</si>
  <si>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</si>
  <si>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</si>
  <si>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</si>
  <si>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</si>
  <si>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</si>
  <si>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</si>
  <si>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</si>
  <si>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</si>
  <si>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</si>
  <si>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</si>
  <si>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</si>
  <si>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</si>
  <si>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</si>
  <si>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</si>
  <si>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</si>
  <si>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</si>
  <si>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</si>
  <si>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</si>
  <si>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</si>
  <si>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</si>
  <si>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</si>
  <si>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</si>
  <si>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</si>
  <si>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</si>
  <si>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</si>
  <si>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</si>
  <si>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</si>
  <si>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</si>
  <si>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</si>
  <si>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</si>
  <si>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</si>
  <si>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</si>
  <si>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</si>
  <si>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</si>
  <si>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</si>
  <si>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</si>
  <si>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</si>
  <si>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</si>
  <si>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</si>
  <si>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</si>
  <si>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</si>
  <si>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</si>
  <si>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</si>
  <si>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</si>
  <si>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</si>
  <si>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</si>
  <si>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</si>
  <si>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</si>
  <si>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</si>
  <si>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</si>
  <si>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</si>
  <si>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</si>
  <si>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</si>
  <si>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</si>
  <si>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</si>
  <si>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</si>
  <si>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</si>
  <si>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</si>
  <si>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</si>
  <si>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</si>
  <si>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</si>
  <si>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</si>
  <si>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</si>
  <si>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</si>
  <si>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</si>
  <si>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</si>
  <si>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</si>
  <si>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</si>
  <si>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</si>
  <si>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</si>
  <si>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</si>
  <si>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</si>
  <si>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</si>
  <si>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</si>
  <si>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</si>
  <si>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</si>
  <si>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</si>
  <si>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</si>
  <si>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</si>
  <si>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</si>
  <si>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</si>
  <si>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</si>
  <si>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</si>
  <si>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</si>
  <si>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</si>
  <si>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</si>
  <si>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</si>
  <si>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</si>
  <si>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</si>
  <si>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</si>
  <si>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</si>
  <si>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</si>
  <si>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</si>
  <si>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</si>
  <si>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</si>
  <si>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</si>
  <si>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</si>
  <si>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</si>
  <si>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</si>
  <si>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</si>
  <si>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</si>
  <si>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</si>
  <si>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</si>
  <si>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</si>
  <si>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</si>
  <si>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</si>
  <si>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</si>
  <si>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</si>
  <si>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</si>
  <si>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</si>
  <si>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</si>
  <si>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</si>
  <si>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</si>
  <si>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</si>
  <si>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</si>
  <si>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</si>
  <si>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</si>
  <si>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</si>
  <si>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</si>
  <si>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</si>
  <si>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</si>
  <si>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</si>
  <si>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</si>
  <si>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</si>
  <si>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</si>
  <si>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</si>
  <si>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</si>
  <si>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</si>
  <si>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</si>
  <si>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</si>
  <si>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</si>
  <si>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</si>
  <si>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</si>
  <si>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</si>
  <si>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</si>
  <si>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</si>
  <si>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</si>
  <si>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</si>
  <si>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</si>
  <si>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</si>
  <si>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</si>
  <si>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</si>
  <si>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</si>
  <si>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</si>
  <si>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</si>
  <si>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</si>
  <si>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</si>
  <si>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</si>
  <si>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</si>
  <si>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</si>
  <si>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</si>
  <si>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</si>
  <si>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</si>
  <si>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</si>
  <si>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</si>
  <si>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</si>
  <si>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</si>
  <si>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</si>
  <si>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</si>
  <si>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</si>
  <si>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</si>
  <si>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</si>
  <si>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</si>
  <si>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</si>
  <si>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</si>
  <si>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</si>
  <si>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</si>
  <si>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</si>
  <si>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</si>
  <si>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</si>
  <si>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</si>
  <si>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</si>
  <si>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</si>
  <si>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</si>
  <si>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</si>
  <si>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</si>
  <si>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</si>
  <si>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</si>
  <si>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</si>
  <si>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</si>
  <si>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</si>
  <si>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</si>
  <si>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</si>
  <si>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</si>
  <si>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</si>
  <si>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</si>
  <si>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</si>
  <si>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</si>
  <si>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</si>
  <si>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</si>
  <si>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</si>
  <si>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</si>
  <si>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</si>
  <si>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</si>
  <si>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</si>
  <si>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</si>
  <si>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</si>
  <si>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</si>
  <si>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</si>
  <si>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</si>
  <si>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</si>
  <si>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</si>
  <si>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</si>
  <si>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</si>
  <si>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</si>
  <si>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</si>
  <si>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</si>
  <si>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</si>
  <si>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</si>
  <si>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</si>
  <si>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</si>
  <si>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</si>
  <si>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</si>
  <si>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</si>
  <si>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</si>
  <si>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</si>
  <si>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</si>
  <si>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</si>
  <si>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</si>
  <si>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</si>
  <si>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</si>
  <si>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</si>
  <si>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</si>
  <si>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</si>
  <si>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</si>
  <si>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</si>
  <si>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</si>
  <si>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</si>
  <si>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</si>
  <si>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</si>
  <si>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</si>
  <si>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</si>
  <si>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</si>
  <si>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</si>
  <si>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</si>
  <si>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</si>
  <si>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</si>
  <si>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</si>
  <si>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</si>
  <si>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</si>
  <si>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</si>
  <si>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</si>
  <si>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</si>
  <si>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</si>
  <si>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</si>
  <si>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</si>
  <si>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</si>
  <si>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</si>
  <si>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</si>
  <si>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</si>
  <si>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</si>
  <si>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</si>
  <si>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</si>
  <si>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</si>
  <si>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</si>
  <si>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</si>
  <si>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</si>
  <si>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</si>
  <si>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</si>
  <si>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</si>
  <si>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</si>
  <si>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</si>
  <si>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</si>
  <si>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</si>
  <si>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</si>
  <si>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</si>
  <si>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</si>
  <si>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</si>
  <si>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</si>
  <si>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</si>
  <si>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</si>
  <si>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</si>
  <si>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</si>
  <si>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</si>
  <si>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</si>
  <si>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</si>
  <si>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</si>
  <si>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</si>
  <si>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</si>
  <si>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</si>
  <si>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</si>
  <si>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</si>
  <si>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</si>
  <si>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</si>
  <si>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</si>
  <si>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</si>
  <si>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</si>
  <si>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</si>
  <si>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</si>
  <si>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</si>
  <si>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</si>
  <si>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</si>
  <si>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</si>
  <si>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</si>
  <si>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</si>
  <si>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</si>
  <si>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</si>
  <si>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</si>
  <si>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</si>
  <si>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</si>
  <si>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</si>
  <si>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</si>
  <si>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</si>
  <si>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</si>
  <si>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</si>
  <si>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</si>
  <si>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</si>
  <si>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</si>
  <si>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</si>
  <si>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</si>
  <si>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</si>
  <si>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</si>
  <si>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</si>
  <si>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</si>
  <si>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</si>
  <si>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</si>
  <si>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</si>
  <si>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</si>
  <si>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</si>
  <si>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</si>
  <si>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</si>
  <si>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</si>
  <si>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</si>
  <si>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</si>
  <si>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</si>
  <si>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</si>
  <si>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</si>
  <si>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</si>
  <si>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</si>
  <si>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</si>
  <si>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</si>
  <si>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</si>
  <si>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</si>
  <si>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</si>
  <si>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</si>
  <si>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</si>
  <si>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</si>
  <si>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</si>
  <si>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</si>
  <si>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</si>
  <si>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</si>
  <si>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</si>
  <si>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</si>
  <si>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</si>
  <si>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</si>
  <si>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</si>
  <si>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</si>
  <si>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</si>
  <si>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</si>
  <si>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</si>
  <si>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</si>
  <si>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</si>
  <si>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</si>
  <si>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</si>
  <si>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</si>
  <si>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</si>
  <si>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</si>
  <si>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</si>
  <si>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</si>
  <si>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</si>
  <si>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</si>
  <si>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</si>
  <si>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</si>
  <si>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</si>
  <si>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</si>
  <si>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</si>
  <si>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</si>
  <si>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</si>
  <si>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</si>
  <si>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</si>
  <si>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</si>
  <si>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</si>
  <si>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</si>
  <si>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</si>
  <si>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</si>
  <si>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</si>
  <si>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</si>
  <si>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</si>
  <si>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</si>
  <si>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</si>
  <si>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</si>
  <si>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</si>
  <si>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</si>
  <si>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</si>
  <si>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</si>
  <si>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</si>
  <si>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</si>
  <si>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</si>
  <si>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</si>
  <si>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</si>
  <si>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</si>
  <si>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</si>
  <si>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</si>
  <si>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</si>
  <si>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</si>
  <si>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</si>
  <si>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</si>
  <si>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</si>
  <si>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</si>
  <si>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</si>
  <si>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</si>
  <si>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</si>
  <si>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</si>
  <si>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</si>
  <si>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</si>
  <si>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</si>
  <si>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</si>
  <si>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</si>
  <si>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</si>
  <si>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</si>
  <si>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</si>
  <si>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</si>
  <si>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</si>
  <si>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</si>
  <si>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</si>
  <si>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</si>
  <si>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</si>
  <si>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</si>
  <si>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</si>
  <si>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</si>
  <si>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</si>
  <si>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</si>
  <si>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</si>
  <si>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</si>
  <si>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</si>
  <si>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</si>
  <si>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</si>
  <si>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</si>
  <si>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</si>
  <si>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</si>
  <si>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</si>
  <si>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</si>
  <si>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</si>
  <si>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</si>
  <si>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</si>
  <si>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</si>
  <si>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</si>
  <si>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</si>
  <si>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</si>
  <si>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</si>
  <si>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</si>
  <si>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</si>
  <si>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</si>
  <si>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</si>
  <si>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</si>
  <si>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</si>
  <si>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</si>
  <si>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</si>
  <si>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</si>
  <si>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</si>
  <si>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</si>
  <si>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</si>
  <si>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</si>
  <si>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</si>
  <si>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</si>
  <si>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</si>
  <si>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</si>
  <si>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</si>
  <si>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</si>
  <si>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</si>
  <si>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</si>
  <si>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</si>
  <si>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</si>
  <si>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</si>
  <si>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</si>
  <si>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</si>
  <si>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</si>
  <si>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</si>
  <si>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</si>
  <si>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</si>
  <si>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</si>
  <si>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</si>
  <si>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</si>
  <si>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</si>
  <si>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</si>
  <si>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</si>
  <si>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</si>
  <si>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</si>
  <si>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</si>
  <si>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</si>
  <si>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</si>
  <si>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</si>
  <si>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</si>
  <si>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</si>
  <si>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</si>
  <si>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</si>
  <si>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</si>
  <si>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</si>
  <si>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</si>
  <si>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</si>
  <si>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</si>
  <si>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</si>
  <si>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</si>
  <si>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</si>
  <si>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</si>
  <si>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</si>
  <si>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</si>
  <si>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</si>
  <si>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</si>
  <si>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</si>
  <si>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</si>
  <si>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</si>
  <si>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</si>
  <si>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</si>
  <si>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</si>
  <si>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</si>
  <si>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</si>
  <si>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</si>
  <si>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</si>
  <si>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</si>
  <si>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</si>
  <si>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</si>
  <si>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</si>
  <si>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</si>
  <si>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</si>
  <si>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</si>
  <si>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</si>
  <si>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</si>
  <si>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</si>
  <si>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</si>
  <si>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</si>
  <si>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</si>
  <si>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</si>
  <si>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</si>
  <si>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</si>
  <si>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</si>
  <si>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</si>
  <si>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</si>
  <si>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</si>
  <si>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</si>
  <si>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</si>
  <si>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</si>
  <si>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</si>
  <si>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</si>
  <si>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</si>
  <si>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</si>
  <si>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</si>
  <si>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</si>
  <si>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</si>
  <si>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</si>
  <si>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</si>
  <si>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</si>
  <si>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</si>
  <si>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</si>
  <si>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</si>
  <si>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</si>
  <si>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</si>
  <si>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</si>
  <si>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</si>
  <si>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</si>
  <si>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</si>
  <si>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</si>
  <si>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</si>
  <si>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</si>
  <si>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</si>
  <si>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</si>
  <si>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</si>
  <si>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</si>
  <si>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</si>
  <si>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</si>
  <si>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</si>
  <si>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</si>
  <si>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</si>
  <si>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</si>
  <si>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</si>
  <si>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</si>
  <si>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</si>
  <si>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</si>
  <si>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</si>
  <si>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</si>
  <si>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</si>
  <si>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</si>
  <si>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</si>
  <si>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</si>
  <si>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</si>
  <si>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</si>
  <si>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</si>
  <si>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</si>
  <si>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</si>
  <si>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</si>
  <si>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</si>
  <si>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</si>
  <si>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</si>
  <si>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</si>
  <si>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</si>
  <si>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</si>
  <si>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</si>
  <si>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</si>
  <si>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</si>
  <si>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</si>
  <si>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</si>
  <si>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</si>
  <si>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</si>
  <si>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</si>
  <si>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</si>
  <si>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</si>
  <si>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</si>
  <si>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</si>
  <si>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</si>
  <si>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</si>
  <si>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</si>
  <si>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</si>
  <si>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</si>
  <si>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</si>
  <si>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</si>
  <si>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</si>
  <si>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</si>
  <si>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</si>
  <si>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</si>
  <si>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</si>
  <si>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</si>
  <si>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</si>
  <si>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</si>
  <si>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</si>
  <si>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</si>
  <si>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</si>
  <si>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</si>
  <si>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</si>
  <si>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</si>
  <si>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</si>
  <si>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</si>
  <si>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</si>
  <si>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</si>
  <si>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</si>
  <si>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</si>
  <si>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</si>
  <si>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</si>
  <si>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</si>
  <si>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</si>
  <si>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</si>
  <si>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</si>
  <si>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</si>
  <si>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</si>
  <si>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</si>
  <si>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</si>
  <si>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</si>
  <si>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</si>
  <si>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</si>
  <si>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</si>
  <si>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</si>
  <si>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</si>
  <si>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</si>
  <si>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</si>
  <si>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</si>
  <si>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</si>
  <si>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</si>
  <si>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</si>
  <si>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</si>
  <si>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</si>
  <si>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</si>
  <si>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</si>
  <si>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</si>
  <si>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</si>
  <si>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</si>
  <si>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</si>
  <si>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</si>
  <si>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</si>
  <si>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</si>
  <si>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</si>
  <si>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</si>
  <si>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</si>
  <si>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</si>
  <si>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</si>
  <si>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</si>
  <si>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</si>
  <si>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</si>
  <si>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</si>
  <si>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</si>
  <si>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</si>
  <si>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</si>
  <si>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</si>
  <si>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</si>
  <si>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</si>
  <si>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</si>
  <si>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</si>
  <si>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</si>
  <si>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</si>
  <si>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</si>
  <si>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</si>
  <si>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</si>
  <si>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</si>
  <si>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</si>
  <si>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</si>
  <si>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</si>
  <si>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</si>
  <si>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</si>
  <si>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</si>
  <si>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</si>
  <si>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</si>
  <si>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</si>
  <si>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</si>
  <si>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</si>
  <si>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</si>
  <si>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</si>
  <si>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</si>
  <si>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</si>
  <si>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</si>
  <si>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</si>
  <si>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</si>
  <si>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</si>
  <si>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</si>
  <si>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</si>
  <si>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</si>
  <si>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</si>
  <si>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</si>
  <si>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</si>
  <si>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</si>
  <si>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</si>
  <si>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</si>
  <si>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</si>
  <si>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</si>
  <si>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</si>
  <si>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</si>
  <si>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</si>
  <si>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</si>
  <si>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</si>
  <si>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</si>
  <si>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</si>
  <si>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</si>
  <si>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</si>
  <si>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</si>
  <si>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</si>
  <si>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</si>
  <si>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</si>
  <si>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</si>
  <si>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</si>
  <si>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</si>
  <si>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</si>
  <si>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</si>
  <si>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</si>
  <si>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</si>
  <si>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</si>
  <si>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</si>
  <si>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</si>
  <si>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</si>
  <si>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</si>
  <si>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</si>
  <si>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</si>
  <si>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</si>
  <si>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</si>
  <si>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</si>
  <si>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</si>
  <si>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</si>
  <si>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</si>
  <si>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</si>
  <si>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</si>
  <si>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</si>
  <si>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</si>
  <si>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</si>
  <si>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</si>
  <si>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</si>
  <si>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</si>
  <si>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</si>
  <si>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</si>
  <si>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</si>
  <si>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</si>
  <si>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</si>
  <si>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</si>
  <si>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</si>
  <si>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</si>
  <si>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</si>
  <si>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</si>
  <si>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</si>
  <si>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</si>
  <si>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</si>
  <si>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</si>
  <si>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</si>
  <si>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</si>
  <si>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</si>
  <si>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</si>
  <si>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</si>
  <si>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</si>
  <si>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</si>
  <si>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</si>
  <si>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</si>
  <si>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</si>
  <si>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</si>
  <si>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</si>
  <si>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</si>
  <si>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</si>
  <si>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</si>
  <si>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</si>
  <si>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</si>
  <si>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</si>
  <si>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</si>
  <si>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</si>
  <si>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</si>
  <si>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</si>
  <si>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</si>
  <si>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</si>
  <si>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</si>
  <si>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</si>
  <si>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</si>
  <si>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</si>
  <si>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</si>
  <si>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</si>
  <si>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</si>
  <si>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</si>
  <si>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</si>
  <si>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</si>
  <si>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</si>
  <si>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</si>
  <si>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</si>
  <si>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</si>
  <si>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</si>
  <si>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</si>
  <si>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</si>
  <si>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</si>
  <si>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</si>
  <si>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</si>
  <si>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</si>
  <si>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</si>
  <si>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</si>
  <si>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</si>
  <si>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</si>
  <si>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</si>
  <si>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</si>
  <si>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</si>
  <si>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</si>
  <si>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</si>
  <si>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</si>
  <si>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</si>
  <si>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</si>
  <si>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</si>
  <si>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</si>
  <si>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</si>
  <si>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</si>
  <si>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</si>
  <si>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</si>
  <si>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</si>
  <si>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</si>
  <si>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</si>
  <si>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</si>
  <si>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</si>
  <si>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</si>
  <si>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</si>
  <si>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</si>
  <si>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</si>
  <si>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</si>
  <si>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</si>
  <si>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</si>
  <si>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</si>
  <si>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</si>
  <si>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</si>
  <si>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</si>
  <si>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</si>
  <si>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</si>
  <si>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</si>
  <si>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</si>
  <si>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</si>
  <si>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</si>
  <si>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</si>
  <si>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</si>
  <si>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</si>
  <si>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</si>
  <si>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</si>
  <si>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</si>
  <si>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</si>
  <si>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</si>
  <si>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</si>
  <si>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</si>
  <si>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</si>
  <si>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</si>
  <si>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</si>
  <si>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</si>
  <si>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</si>
  <si>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</si>
  <si>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</si>
  <si>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</si>
  <si>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</si>
  <si>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</si>
  <si>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</si>
  <si>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</si>
  <si>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</si>
  <si>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</si>
  <si>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</si>
  <si>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</si>
  <si>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</si>
  <si>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</si>
  <si>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</si>
  <si>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</si>
  <si>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</si>
  <si>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</si>
  <si>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</si>
  <si>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</si>
  <si>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</si>
  <si>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</si>
  <si>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</si>
  <si>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</si>
  <si>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</si>
  <si>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</si>
  <si>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</si>
  <si>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</si>
  <si>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</si>
  <si>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</si>
  <si>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</si>
  <si>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</si>
  <si>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</si>
  <si>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</si>
  <si>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</si>
  <si>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</si>
  <si>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</si>
  <si>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</si>
  <si>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</si>
  <si>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</si>
  <si>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</si>
  <si>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</si>
  <si>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</si>
  <si>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</si>
  <si>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</si>
  <si>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</si>
  <si>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</si>
  <si>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</si>
  <si>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</si>
  <si>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</si>
  <si>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</si>
  <si>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</si>
  <si>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</si>
  <si>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</si>
  <si>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</si>
  <si>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</si>
  <si>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</si>
  <si>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</si>
  <si>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</si>
  <si>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</si>
  <si>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</si>
  <si>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</si>
  <si>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</si>
  <si>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</si>
  <si>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</si>
  <si>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</si>
  <si>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</si>
  <si>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</si>
  <si>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</si>
  <si>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</si>
  <si>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</si>
  <si>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</si>
  <si>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</si>
  <si>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</si>
  <si>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</si>
  <si>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</si>
  <si>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</si>
  <si>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</si>
  <si>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</si>
  <si>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</si>
  <si>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</si>
  <si>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</si>
  <si>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</si>
  <si>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</si>
  <si>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</si>
  <si>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</si>
  <si>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</si>
  <si>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</si>
  <si>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</si>
  <si>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</si>
  <si>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</si>
  <si>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</si>
  <si>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</si>
  <si>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</si>
  <si>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</si>
  <si>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</si>
  <si>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</si>
  <si>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</si>
  <si>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</si>
  <si>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</si>
  <si>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</si>
  <si>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</si>
  <si>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</si>
  <si>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</si>
  <si>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</si>
  <si>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</si>
  <si>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</si>
  <si>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</si>
  <si>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</si>
  <si>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</si>
  <si>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</si>
  <si>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</si>
  <si>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</si>
  <si>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</si>
  <si>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</si>
  <si>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</si>
  <si>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</si>
  <si>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</si>
  <si>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</si>
  <si>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</si>
  <si>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</si>
  <si>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</si>
  <si>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</si>
  <si>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</si>
  <si>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</si>
  <si>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</si>
  <si>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</si>
  <si>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</si>
  <si>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</si>
  <si>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</si>
  <si>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</si>
  <si>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</si>
  <si>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</si>
  <si>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</si>
  <si>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</si>
  <si>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</si>
  <si>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</si>
  <si>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</si>
  <si>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</si>
  <si>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</si>
  <si>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</si>
  <si>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</si>
  <si>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</si>
  <si>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</si>
  <si>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</si>
  <si>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</si>
  <si>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</si>
  <si>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</si>
  <si>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</si>
  <si>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</si>
  <si>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</si>
  <si>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</si>
  <si>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</si>
  <si>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</si>
  <si>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</si>
  <si>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</si>
  <si>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</si>
  <si>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</si>
  <si>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</si>
  <si>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</si>
  <si>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</si>
  <si>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</si>
  <si>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</si>
  <si>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</si>
  <si>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</si>
  <si>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</si>
  <si>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</si>
  <si>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</si>
  <si>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</si>
  <si>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</si>
  <si>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</si>
  <si>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</si>
  <si>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</si>
  <si>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</si>
  <si>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</si>
  <si>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</si>
  <si>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</si>
  <si>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</si>
  <si>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</si>
  <si>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</si>
  <si>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</si>
  <si>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</si>
  <si>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</si>
  <si>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</si>
  <si>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</si>
  <si>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</si>
  <si>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</si>
  <si>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</si>
  <si>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</si>
  <si>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</si>
  <si>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</si>
  <si>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</si>
  <si>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</si>
  <si>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</si>
  <si>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</si>
  <si>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</si>
  <si>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</si>
  <si>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</si>
  <si>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</si>
  <si>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</si>
  <si>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</si>
  <si>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</si>
  <si>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</si>
  <si>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</si>
  <si>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</si>
  <si>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</si>
  <si>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</si>
  <si>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</si>
  <si>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</si>
  <si>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</si>
  <si>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</si>
  <si>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</si>
  <si>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</si>
  <si>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</si>
  <si>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</si>
  <si>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</si>
  <si>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</si>
  <si>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</si>
  <si>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</si>
  <si>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</si>
  <si>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</si>
  <si>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</si>
  <si>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</si>
  <si>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</si>
  <si>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</si>
  <si>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</si>
  <si>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</si>
  <si>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</si>
  <si>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</si>
  <si>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</si>
  <si>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</si>
  <si>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</si>
  <si>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</si>
  <si>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</si>
  <si>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</si>
  <si>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</si>
  <si>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</si>
  <si>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</si>
  <si>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</si>
  <si>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</si>
  <si>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</si>
  <si>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</si>
  <si>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</si>
  <si>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</si>
  <si>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</si>
  <si>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</si>
  <si>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</si>
  <si>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</si>
  <si>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</si>
  <si>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</si>
  <si>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</si>
  <si>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</si>
  <si>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</si>
  <si>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</si>
  <si>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</si>
  <si>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</si>
  <si>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</si>
  <si>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</si>
  <si>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</si>
  <si>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</si>
  <si>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</si>
  <si>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</si>
  <si>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</si>
  <si>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</si>
  <si>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</si>
  <si>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</si>
  <si>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</si>
  <si>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</si>
  <si>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</si>
  <si>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</si>
  <si>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</si>
  <si>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</si>
  <si>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</si>
  <si>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</si>
  <si>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</si>
  <si>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</si>
  <si>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</si>
  <si>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</si>
  <si>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</si>
  <si>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</si>
  <si>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</si>
  <si>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</si>
  <si>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</si>
  <si>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</si>
  <si>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</si>
  <si>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</si>
  <si>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</si>
  <si>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</si>
  <si>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</si>
  <si>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</si>
  <si>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</si>
  <si>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</si>
  <si>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</si>
  <si>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</si>
  <si>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</si>
  <si>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</si>
  <si>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</si>
  <si>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</si>
  <si>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</si>
  <si>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</si>
  <si>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</si>
  <si>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</si>
  <si>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</si>
  <si>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</si>
  <si>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</si>
  <si>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</si>
  <si>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</si>
  <si>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</si>
  <si>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</si>
  <si>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</si>
  <si>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</si>
  <si>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</si>
  <si>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</si>
  <si>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</si>
  <si>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</si>
  <si>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</si>
  <si>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</si>
  <si>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</si>
  <si>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</si>
  <si>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</si>
  <si>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</si>
  <si>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</si>
  <si>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</si>
  <si>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</si>
  <si>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</si>
  <si>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</si>
  <si>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</si>
  <si>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</si>
  <si>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</si>
  <si>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</si>
  <si>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</si>
  <si>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</si>
  <si>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</si>
  <si>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</si>
  <si>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</si>
  <si>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</si>
  <si>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</si>
  <si>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</si>
  <si>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</si>
  <si>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</si>
  <si>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</si>
  <si>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</si>
  <si>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</si>
  <si>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</si>
  <si>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</si>
  <si>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</si>
  <si>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</si>
  <si>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</si>
  <si>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</si>
  <si>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</si>
  <si>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</si>
  <si>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</si>
  <si>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</si>
  <si>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</si>
  <si>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</si>
  <si>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</si>
  <si>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</si>
  <si>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</si>
  <si>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</si>
  <si>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</si>
  <si>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</si>
  <si>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</si>
  <si>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</si>
  <si>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</si>
  <si>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</si>
  <si>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</si>
  <si>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</si>
  <si>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</si>
  <si>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</si>
  <si>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</si>
  <si>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</si>
  <si>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</si>
  <si>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</si>
  <si>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</si>
  <si>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</si>
  <si>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</si>
  <si>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</si>
  <si>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</si>
  <si>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</si>
  <si>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</si>
  <si>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</si>
  <si>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</si>
  <si>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</si>
  <si>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</si>
  <si>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</si>
  <si>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</si>
  <si>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</si>
  <si>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</si>
  <si>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</si>
  <si>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</si>
  <si>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</si>
  <si>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</si>
  <si>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</si>
  <si>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</si>
  <si>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</si>
  <si>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</si>
  <si>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</si>
  <si>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</si>
  <si>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</si>
  <si>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</si>
  <si>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</si>
  <si>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</si>
  <si>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</si>
  <si>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</si>
  <si>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</si>
  <si>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</si>
  <si>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</si>
  <si>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</si>
  <si>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</si>
  <si>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</si>
  <si>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</si>
  <si>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</si>
  <si>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</si>
  <si>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</si>
  <si>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</si>
  <si>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</si>
  <si>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</si>
  <si>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</si>
  <si>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</si>
  <si>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</si>
  <si>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</si>
  <si>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</si>
  <si>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</si>
  <si>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</si>
  <si>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</si>
  <si>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</si>
  <si>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</si>
  <si>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</si>
  <si>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</si>
  <si>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</si>
  <si>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</si>
  <si>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</si>
  <si>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</si>
  <si>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</si>
  <si>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</si>
  <si>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</si>
  <si>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</si>
  <si>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</si>
  <si>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</si>
  <si>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</si>
  <si>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</si>
  <si>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</si>
  <si>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</si>
  <si>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</si>
  <si>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</si>
  <si>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</si>
  <si>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</si>
  <si>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</si>
  <si>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</si>
  <si>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</si>
  <si>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</si>
  <si>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</si>
  <si>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</si>
  <si>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</si>
  <si>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</si>
  <si>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</si>
  <si>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</si>
  <si>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</si>
  <si>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</si>
  <si>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</si>
  <si>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</si>
  <si>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</si>
  <si>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</si>
  <si>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</si>
  <si>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</si>
  <si>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</si>
  <si>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</si>
  <si>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</si>
  <si>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</si>
  <si>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</si>
  <si>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</si>
  <si>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</si>
  <si>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</si>
  <si>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</si>
  <si>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</si>
  <si>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</si>
  <si>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</si>
  <si>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</si>
  <si>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</si>
  <si>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</si>
  <si>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</si>
  <si>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</si>
  <si>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</si>
  <si>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</si>
  <si>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</si>
  <si>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</si>
  <si>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</si>
  <si>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</si>
  <si>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</si>
  <si>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</si>
  <si>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</si>
  <si>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</si>
  <si>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</si>
  <si>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</si>
  <si>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</si>
  <si>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</si>
  <si>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</si>
  <si>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</si>
  <si>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</si>
  <si>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</si>
  <si>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</si>
  <si>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</si>
  <si>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</si>
  <si>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</si>
  <si>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</si>
  <si>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</si>
  <si>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</si>
  <si>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</si>
  <si>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</si>
  <si>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</si>
  <si>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</si>
  <si>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</si>
  <si>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</si>
  <si>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</si>
  <si>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</si>
  <si>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</si>
  <si>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</si>
  <si>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</si>
  <si>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</si>
  <si>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</si>
  <si>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</si>
  <si>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</si>
  <si>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</si>
  <si>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</si>
  <si>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</si>
  <si>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</si>
  <si>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</si>
  <si>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</si>
  <si>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</si>
  <si>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</si>
  <si>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</si>
  <si>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</si>
  <si>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</si>
  <si>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</si>
  <si>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</si>
  <si>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</si>
  <si>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</si>
  <si>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</si>
  <si>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</si>
  <si>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</si>
  <si>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</si>
  <si>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</si>
  <si>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</si>
  <si>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</si>
  <si>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</si>
  <si>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</si>
  <si>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</si>
  <si>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</si>
  <si>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</si>
  <si>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</si>
  <si>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</si>
  <si>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</si>
  <si>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</si>
  <si>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</si>
  <si>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</si>
  <si>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</si>
  <si>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</si>
  <si>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</si>
  <si>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</si>
  <si>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</si>
  <si>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</si>
  <si>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</si>
  <si>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</si>
  <si>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</si>
  <si>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</si>
  <si>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</si>
  <si>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</si>
  <si>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</si>
  <si>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</si>
  <si>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</si>
  <si>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</si>
  <si>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</si>
  <si>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</si>
  <si>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</si>
  <si>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</si>
  <si>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</si>
  <si>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</si>
  <si>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</si>
  <si>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</si>
  <si>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</si>
  <si>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</si>
  <si>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</si>
  <si>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</si>
  <si>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</si>
  <si>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</si>
  <si>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</si>
  <si>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</si>
  <si>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</si>
  <si>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</si>
  <si>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</si>
  <si>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</si>
  <si>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</si>
  <si>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</si>
  <si>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</si>
  <si>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</si>
  <si>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</si>
  <si>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</si>
  <si>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</si>
  <si>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</si>
  <si>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</si>
  <si>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</si>
  <si>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</si>
  <si>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</si>
  <si>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</si>
  <si>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</si>
  <si>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</si>
  <si>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</si>
  <si>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</si>
  <si>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</si>
  <si>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</si>
  <si>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</si>
  <si>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</si>
  <si>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</si>
  <si>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</si>
  <si>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</si>
  <si>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</si>
  <si>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</si>
  <si>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</si>
  <si>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</si>
  <si>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</si>
  <si>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</si>
  <si>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</si>
  <si>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</si>
  <si>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</si>
  <si>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</si>
  <si>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</si>
  <si>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</si>
  <si>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</si>
  <si>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</si>
  <si>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</si>
  <si>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</si>
  <si>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</si>
  <si>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</si>
  <si>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</si>
  <si>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</si>
  <si>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</si>
  <si>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</si>
  <si>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</si>
  <si>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</si>
  <si>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Sum of Sales</t>
  </si>
  <si>
    <t>Jan</t>
  </si>
  <si>
    <t>Feb</t>
  </si>
  <si>
    <t>Mar</t>
  </si>
  <si>
    <t>Apr</t>
  </si>
  <si>
    <t>May</t>
  </si>
  <si>
    <t>Jun</t>
  </si>
  <si>
    <t>Jul</t>
  </si>
  <si>
    <t>Aug</t>
  </si>
  <si>
    <t>Sep</t>
  </si>
  <si>
    <t>Oct</t>
  </si>
  <si>
    <t>Nov</t>
  </si>
  <si>
    <t>Dec</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</si>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</sst>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_-[$$-409]* #,##0.00_ ;_-[$$-409]* \-#,##0.00\ ;_-[$$-409]* &quot;-&quot;??_ ;_-@_ "/>
    <numFmt numFmtId="167" formatCode="[$$-409]#,##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3" fontId="0" fillId="0" borderId="0" xfId="0" applyNumberFormat="1"/>
    <xf numFmtId="167" fontId="0" fillId="0" borderId="0" xfId="0" applyNumberFormat="1"/>
    <xf numFmtId="0" fontId="0" fillId="2" borderId="0" xfId="0" applyFill="1"/>
  </cellXfs>
  <cellStyles count="1">
    <cellStyle name="Normal" xfId="0" builtinId="0"/>
  </cellStyles>
  <dxfs count="17">
    <dxf>
      <numFmt numFmtId="0" formatCode="General"/>
    </dxf>
    <dxf>
      <numFmt numFmtId="166" formatCode="_-[$$-409]* #,##0.00_ ;_-[$$-409]* \-#,##0.00\ ;_-[$$-409]* &quot;-&quot;??_ ;_-@_ "/>
    </dxf>
    <dxf>
      <numFmt numFmtId="166" formatCode="_-[$$-409]* #,##0.00_ ;_-[$$-409]* \-#,##0.00\ ;_-[$$-409]* &quot;-&quot;??_ ;_-@_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z val="11"/>
        <color theme="0"/>
        <name val="Calibri"/>
        <family val="2"/>
        <scheme val="minor"/>
      </font>
      <fill>
        <patternFill>
          <bgColor theme="4" tint="-0.24994659260841701"/>
        </patternFill>
      </fill>
    </dxf>
    <dxf>
      <font>
        <b val="0"/>
        <i val="0"/>
        <sz val="10"/>
        <name val="Calibri"/>
        <family val="2"/>
        <scheme val="minor"/>
      </font>
      <fill>
        <patternFill patternType="solid">
          <fgColor theme="0"/>
          <bgColor theme="4"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0"/>
        <name val="Calibri"/>
        <family val="2"/>
        <scheme val="minor"/>
      </font>
      <fill>
        <patternFill patternType="solid">
          <fgColor theme="0"/>
          <bgColor theme="4"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theme="4" tint="-0.24994659260841701"/>
        </patternFill>
      </fill>
    </dxf>
    <dxf>
      <font>
        <b val="0"/>
        <i val="0"/>
        <sz val="10"/>
        <name val="Calibri"/>
        <family val="2"/>
        <scheme val="minor"/>
      </font>
      <fill>
        <patternFill patternType="solid">
          <fgColor rgb="FF3399FF"/>
          <bgColor theme="4" tint="0.59996337778862885"/>
        </patternFill>
      </fill>
    </dxf>
  </dxfs>
  <tableStyles count="3" defaultTableStyle="TableStyleMedium2" defaultPivotStyle="PivotStyleMedium9">
    <tableStyle name="Blue Slicer Style 1" pivot="0" table="0" count="9" xr9:uid="{0CD97679-2FE4-4326-9C42-A842B91C85A2}">
      <tableStyleElement type="wholeTable" dxfId="16"/>
      <tableStyleElement type="headerRow" dxfId="15"/>
    </tableStyle>
    <tableStyle name="Blue Timeline Style" pivot="0" table="0" count="8" xr9:uid="{8EBE9672-CEDA-4917-98B0-DED2FC216EA0}">
      <tableStyleElement type="wholeTable" dxfId="14"/>
      <tableStyleElement type="headerRow" dxfId="13"/>
    </tableStyle>
    <tableStyle name="Blue Timeline Style 1" pivot="0" table="0" count="8" xr9:uid="{C097A1B2-E5ED-4C65-9ABF-FDB638F0A130}">
      <tableStyleElement type="wholeTable" dxfId="12"/>
      <tableStyleElement type="headerRow" dxfId="11"/>
    </tableStyle>
  </tableStyles>
  <colors>
    <mruColors>
      <color rgb="FFCCECFF"/>
      <color rgb="FF71DAFF"/>
      <color rgb="FF2F2A96"/>
      <color rgb="FF66CCFF"/>
      <color rgb="FF3399FF"/>
    </mruColors>
  </colors>
  <extLst>
    <ext xmlns:x14="http://schemas.microsoft.com/office/spreadsheetml/2009/9/main" uri="{46F421CA-312F-682f-3DD2-61675219B42D}">
      <x14:dxfs count="7">
        <dxf>
          <font>
            <b val="0"/>
            <i val="0"/>
            <sz val="10"/>
            <name val="Calibri"/>
            <family val="2"/>
            <scheme val="minor"/>
          </font>
          <fill>
            <patternFill>
              <bgColor rgb="FF66CCFF"/>
            </patternFill>
          </fill>
        </dxf>
        <dxf>
          <font>
            <b val="0"/>
            <i val="0"/>
            <sz val="11"/>
            <name val="Calibri"/>
            <family val="2"/>
            <scheme val="minor"/>
          </font>
          <fill>
            <patternFill>
              <bgColor rgb="FF66CCFF"/>
            </patternFill>
          </fill>
        </dxf>
        <dxf>
          <font>
            <b val="0"/>
            <i val="0"/>
            <sz val="10"/>
            <name val="Calibri"/>
            <family val="2"/>
            <scheme val="minor"/>
          </font>
          <fill>
            <patternFill>
              <bgColor rgb="FF66CCFF"/>
            </patternFill>
          </fill>
        </dxf>
        <dxf>
          <font>
            <b/>
            <i val="0"/>
            <sz val="10"/>
            <name val="Calibri"/>
            <family val="2"/>
            <scheme val="minor"/>
          </font>
          <fill>
            <patternFill>
              <bgColor rgb="FF00B0F0"/>
            </patternFill>
          </fill>
        </dxf>
        <dxf>
          <font>
            <b/>
            <i val="0"/>
            <sz val="11"/>
            <color theme="0"/>
            <name val="Calibri"/>
            <family val="2"/>
            <scheme val="minor"/>
          </font>
          <fill>
            <patternFill>
              <bgColor rgb="FF0070C0"/>
            </patternFill>
          </fill>
        </dxf>
        <dxf>
          <font>
            <b val="0"/>
            <i val="0"/>
            <sz val="10"/>
            <name val="Calibri"/>
            <family val="2"/>
            <scheme val="minor"/>
          </font>
          <fill>
            <patternFill>
              <bgColor rgb="FFCCECFF"/>
            </patternFill>
          </fill>
        </dxf>
        <dxf>
          <font>
            <b val="0"/>
            <i val="0"/>
            <sz val="10"/>
            <name val="Calibri Light"/>
            <family val="2"/>
            <scheme val="major"/>
          </font>
          <fill>
            <patternFill>
              <bgColor rgb="FFCCECFF"/>
            </patternFill>
          </fill>
        </dxf>
      </x14:dxfs>
    </ext>
    <ext xmlns:x14="http://schemas.microsoft.com/office/spreadsheetml/2009/9/main" uri="{EB79DEF2-80B8-43e5-95BD-54CBDDF9020C}">
      <x14:slicerStyles defaultSlicerStyle="SlicerStyleLight1">
        <x14:slicerStyle name="Blue 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4" tint="0.59996337778862885"/>
            </patternFill>
          </fill>
        </dxf>
        <dxf>
          <fill>
            <patternFill patternType="solid">
              <fgColor theme="0"/>
              <bgColor theme="4" tint="-0.499984740745262"/>
            </patternFill>
          </fill>
        </dxf>
        <dxf>
          <font>
            <b/>
            <i val="0"/>
            <sz val="9"/>
            <color theme="4" tint="-0.24994659260841701"/>
            <name val="Calibri"/>
            <family val="2"/>
            <scheme val="minor"/>
          </font>
        </dxf>
        <dxf>
          <font>
            <b/>
            <i val="0"/>
            <sz val="10"/>
            <color theme="4" tint="-0.499984740745262"/>
            <name val="Calibri"/>
            <family val="2"/>
            <scheme val="minor"/>
          </font>
        </dxf>
        <dxf>
          <font>
            <b val="0"/>
            <i val="0"/>
            <sz val="9"/>
            <color theme="4" tint="-0.499984740745262"/>
            <name val="Calibri"/>
            <family val="2"/>
            <scheme val="minor"/>
          </font>
        </dxf>
        <dxf>
          <font>
            <b/>
            <i val="0"/>
            <sz val="10"/>
            <color theme="4" tint="-0.2499465926084170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Blu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Blue 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7"/>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tx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77C6-48E4-A8A2-134E950757A9}"/>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77C6-48E4-A8A2-134E950757A9}"/>
            </c:ext>
          </c:extLst>
        </c:ser>
        <c:ser>
          <c:idx val="2"/>
          <c:order val="2"/>
          <c:tx>
            <c:strRef>
              <c:f>TotalSales!$E$3:$E$4</c:f>
              <c:strCache>
                <c:ptCount val="1"/>
                <c:pt idx="0">
                  <c:v>Liberica</c:v>
                </c:pt>
              </c:strCache>
            </c:strRef>
          </c:tx>
          <c:spPr>
            <a:ln w="28575" cap="rnd">
              <a:solidFill>
                <a:schemeClr val="accent6">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77C6-48E4-A8A2-134E950757A9}"/>
            </c:ext>
          </c:extLst>
        </c:ser>
        <c:ser>
          <c:idx val="3"/>
          <c:order val="3"/>
          <c:tx>
            <c:strRef>
              <c:f>TotalSales!$F$3:$F$4</c:f>
              <c:strCache>
                <c:ptCount val="1"/>
                <c:pt idx="0">
                  <c:v>Robusta</c:v>
                </c:pt>
              </c:strCache>
            </c:strRef>
          </c:tx>
          <c:spPr>
            <a:ln w="28575" cap="rnd">
              <a:solidFill>
                <a:srgbClr val="FFC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77C6-48E4-A8A2-134E950757A9}"/>
            </c:ext>
          </c:extLst>
        </c:ser>
        <c:dLbls>
          <c:showLegendKey val="0"/>
          <c:showVal val="0"/>
          <c:showCatName val="0"/>
          <c:showSerName val="0"/>
          <c:showPercent val="0"/>
          <c:showBubbleSize val="0"/>
        </c:dLbls>
        <c:smooth val="0"/>
        <c:axId val="99286800"/>
        <c:axId val="99295440"/>
      </c:lineChart>
      <c:catAx>
        <c:axId val="992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99295440"/>
        <c:crosses val="autoZero"/>
        <c:auto val="1"/>
        <c:lblAlgn val="ctr"/>
        <c:lblOffset val="100"/>
        <c:noMultiLvlLbl val="0"/>
      </c:catAx>
      <c:valAx>
        <c:axId val="9929544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9928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31"/>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2">
              <a:lumMod val="75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6">
                  <a:lumMod val="75000"/>
                </a:schemeClr>
              </a:solidFill>
              <a:ln>
                <a:noFill/>
              </a:ln>
              <a:effectLst/>
            </c:spPr>
          </c:dPt>
          <c:dPt>
            <c:idx val="1"/>
            <c:invertIfNegative val="0"/>
            <c:bubble3D val="0"/>
            <c:spPr>
              <a:solidFill>
                <a:schemeClr val="accent2">
                  <a:lumMod val="75000"/>
                </a:schemeClr>
              </a:solidFill>
              <a:ln>
                <a:no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5-3397-4E86-96E0-D0DF791EE56D}"/>
            </c:ext>
          </c:extLst>
        </c:ser>
        <c:dLbls>
          <c:dLblPos val="outEnd"/>
          <c:showLegendKey val="0"/>
          <c:showVal val="1"/>
          <c:showCatName val="0"/>
          <c:showSerName val="0"/>
          <c:showPercent val="0"/>
          <c:showBubbleSize val="0"/>
        </c:dLbls>
        <c:gapWidth val="184"/>
        <c:axId val="1755057055"/>
        <c:axId val="1755057535"/>
      </c:barChart>
      <c:catAx>
        <c:axId val="1755057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755057535"/>
        <c:crosses val="autoZero"/>
        <c:auto val="1"/>
        <c:lblAlgn val="ctr"/>
        <c:lblOffset val="100"/>
        <c:noMultiLvlLbl val="0"/>
      </c:catAx>
      <c:valAx>
        <c:axId val="1755057535"/>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75505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32"/>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A54F-4FDE-8AF7-4801A37C4B37}"/>
            </c:ext>
          </c:extLst>
        </c:ser>
        <c:dLbls>
          <c:dLblPos val="outEnd"/>
          <c:showLegendKey val="0"/>
          <c:showVal val="1"/>
          <c:showCatName val="0"/>
          <c:showSerName val="0"/>
          <c:showPercent val="0"/>
          <c:showBubbleSize val="0"/>
        </c:dLbls>
        <c:gapWidth val="184"/>
        <c:axId val="1755057055"/>
        <c:axId val="1755057535"/>
      </c:barChart>
      <c:catAx>
        <c:axId val="1755057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755057535"/>
        <c:crosses val="autoZero"/>
        <c:auto val="1"/>
        <c:lblAlgn val="ctr"/>
        <c:lblOffset val="100"/>
        <c:noMultiLvlLbl val="0"/>
      </c:catAx>
      <c:valAx>
        <c:axId val="1755057535"/>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75505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67F00386-8AE9-ADE8-280C-3621DE80D3A4}"/>
            </a:ext>
          </a:extLst>
        </xdr:cNvPr>
        <xdr:cNvSpPr/>
      </xdr:nvSpPr>
      <xdr:spPr>
        <a:xfrm>
          <a:off x="118533" y="59267"/>
          <a:ext cx="15240000" cy="745066"/>
        </a:xfrm>
        <a:prstGeom prst="rect">
          <a:avLst/>
        </a:prstGeom>
        <a:solidFill>
          <a:srgbClr val="002060"/>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3600" b="1">
              <a:latin typeface="Arial Rounded MT Bold" panose="020F0704030504030204" pitchFamily="34" charset="0"/>
            </a:rPr>
            <a:t>COFFEE</a:t>
          </a:r>
          <a:r>
            <a:rPr lang="en-PH" sz="3600" b="1" baseline="0">
              <a:latin typeface="Arial Rounded MT Bold" panose="020F0704030504030204" pitchFamily="34" charset="0"/>
            </a:rPr>
            <a:t> SALES DASHBOARD</a:t>
          </a:r>
          <a:endParaRPr lang="en-PH" sz="3600" b="1">
            <a:latin typeface="Arial Rounded MT Bold" panose="020F0704030504030204" pitchFamily="34" charset="0"/>
          </a:endParaRPr>
        </a:p>
      </xdr:txBody>
    </xdr:sp>
    <xdr:clientData/>
  </xdr:twoCellAnchor>
  <xdr:twoCellAnchor>
    <xdr:from>
      <xdr:col>1</xdr:col>
      <xdr:colOff>8466</xdr:colOff>
      <xdr:row>16</xdr:row>
      <xdr:rowOff>183661</xdr:rowOff>
    </xdr:from>
    <xdr:to>
      <xdr:col>16</xdr:col>
      <xdr:colOff>0</xdr:colOff>
      <xdr:row>38</xdr:row>
      <xdr:rowOff>0</xdr:rowOff>
    </xdr:to>
    <xdr:graphicFrame macro="">
      <xdr:nvGraphicFramePr>
        <xdr:cNvPr id="4" name="Chart 3">
          <a:extLst>
            <a:ext uri="{FF2B5EF4-FFF2-40B4-BE49-F238E27FC236}">
              <a16:creationId xmlns:a16="http://schemas.microsoft.com/office/drawing/2014/main" id="{C9991878-EEFA-449E-B791-E34FB51EB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16</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015F219C-60A8-4BAF-B75B-9DF09114BDD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8533" y="990600"/>
              <a:ext cx="9144000" cy="1735667"/>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17</xdr:col>
      <xdr:colOff>0</xdr:colOff>
      <xdr:row>10</xdr:row>
      <xdr:rowOff>186266</xdr:rowOff>
    </xdr:from>
    <xdr:to>
      <xdr:col>21</xdr:col>
      <xdr:colOff>0</xdr:colOff>
      <xdr:row>16</xdr:row>
      <xdr:rowOff>5079</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FFD00C58-C57F-468D-936A-9C7356CB0FD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381067" y="1800013"/>
              <a:ext cx="2438400" cy="93133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6</xdr:row>
      <xdr:rowOff>0</xdr:rowOff>
    </xdr:from>
    <xdr:to>
      <xdr:col>26</xdr:col>
      <xdr:colOff>0</xdr:colOff>
      <xdr:row>10</xdr:row>
      <xdr:rowOff>1</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75B10D43-405C-4CF0-8EBD-EF646821B33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381067" y="990600"/>
              <a:ext cx="4995333" cy="74506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xdr:colOff>
      <xdr:row>10</xdr:row>
      <xdr:rowOff>186266</xdr:rowOff>
    </xdr:from>
    <xdr:to>
      <xdr:col>26</xdr:col>
      <xdr:colOff>1</xdr:colOff>
      <xdr:row>16</xdr:row>
      <xdr:rowOff>5079</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DA64DFCD-7540-4A04-8F03-B61829EBF67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938001" y="1800013"/>
              <a:ext cx="2438400" cy="93133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7470</xdr:colOff>
      <xdr:row>17</xdr:row>
      <xdr:rowOff>0</xdr:rowOff>
    </xdr:from>
    <xdr:to>
      <xdr:col>25</xdr:col>
      <xdr:colOff>609599</xdr:colOff>
      <xdr:row>25</xdr:row>
      <xdr:rowOff>0</xdr:rowOff>
    </xdr:to>
    <xdr:graphicFrame macro="">
      <xdr:nvGraphicFramePr>
        <xdr:cNvPr id="9" name="Chart 8">
          <a:extLst>
            <a:ext uri="{FF2B5EF4-FFF2-40B4-BE49-F238E27FC236}">
              <a16:creationId xmlns:a16="http://schemas.microsoft.com/office/drawing/2014/main" id="{65B4A86E-AB63-45F3-BD4B-27F8DB743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996</xdr:colOff>
      <xdr:row>25</xdr:row>
      <xdr:rowOff>186266</xdr:rowOff>
    </xdr:from>
    <xdr:to>
      <xdr:col>26</xdr:col>
      <xdr:colOff>0</xdr:colOff>
      <xdr:row>38</xdr:row>
      <xdr:rowOff>0</xdr:rowOff>
    </xdr:to>
    <xdr:graphicFrame macro="">
      <xdr:nvGraphicFramePr>
        <xdr:cNvPr id="10" name="Chart 9">
          <a:extLst>
            <a:ext uri="{FF2B5EF4-FFF2-40B4-BE49-F238E27FC236}">
              <a16:creationId xmlns:a16="http://schemas.microsoft.com/office/drawing/2014/main" id="{301AA535-6322-4ACC-8B6A-2B217104A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155.73238587963" createdVersion="8" refreshedVersion="8" minRefreshableVersion="3" recordCount="1000" xr:uid="{63EB4B2E-6164-4800-8C29-74BD39B20E3D}">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48813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6FCE21-A16A-4080-81B3-EE0BFA6D1C41}"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6"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7" numFmtId="3"/>
  </dataFields>
  <chartFormats count="4">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 chart="17" format="10" series="1">
      <pivotArea type="data" outline="0" fieldPosition="0">
        <references count="2">
          <reference field="4294967294" count="1" selected="0">
            <x v="0"/>
          </reference>
          <reference field="13" count="1" selected="0">
            <x v="2"/>
          </reference>
        </references>
      </pivotArea>
    </chartFormat>
    <chartFormat chart="1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67ADCD-79A2-4AD7-8DFF-561247D9B1FA}"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6"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7"/>
  </dataFields>
  <chartFormats count="3">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7" count="1" selected="0">
            <x v="1"/>
          </reference>
        </references>
      </pivotArea>
    </chartFormat>
    <chartFormat chart="31"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5FD3E7-B03A-4B33-B4C2-1657C8704A0C}"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6"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7"/>
  </dataFields>
  <chartFormats count="3">
    <chartFormat chart="27"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7112960-96C7-4EFF-B086-E1B316F90C85}" sourceName="Size">
  <pivotTables>
    <pivotTable tabId="18" name="TotalSales"/>
    <pivotTable tabId="19" name="TotalSales"/>
    <pivotTable tabId="21" name="TotalSales"/>
  </pivotTables>
  <data>
    <tabular pivotCacheId="154881309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52584CE-65DF-4EFB-A3A8-F62E8311F788}" sourceName="Roast Type Name">
  <pivotTables>
    <pivotTable tabId="18" name="TotalSales"/>
    <pivotTable tabId="19" name="TotalSales"/>
    <pivotTable tabId="21" name="TotalSales"/>
  </pivotTables>
  <data>
    <tabular pivotCacheId="154881309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3FDE64A-86CD-4196-B5BF-037627289F2B}" sourceName="Loyalty Card">
  <pivotTables>
    <pivotTable tabId="18" name="TotalSales"/>
    <pivotTable tabId="19" name="TotalSales"/>
    <pivotTable tabId="21" name="TotalSales"/>
  </pivotTables>
  <data>
    <tabular pivotCacheId="15488130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0F5AF64-B419-40BB-A651-28F143078AE0}" cache="Slicer_Size" caption="Size" columnCount="2" style="Blue Slicer Style 1" rowHeight="234950"/>
  <slicer name="Roast Type Name" xr10:uid="{EEA0B43E-BB52-4733-983C-0A7E84295A74}" cache="Slicer_Roast_Type_Name" caption="Roast Type Name" columnCount="3" style="Blue Slicer Style 1" rowHeight="234950"/>
  <slicer name="Loyalty Card" xr10:uid="{1E919D05-0FBF-4EB8-B2F0-694CB22BD3FD}" cache="Slicer_Loyalty_Card" caption="Loyalty Card" style="Blue 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8F8309-5547-422C-ADCC-6BA84286AF62}" name="Orders" displayName="Orders" ref="A1:P1001" totalsRowShown="0" headerRowDxfId="10">
  <autoFilter ref="A1:P1001" xr:uid="{308F8309-5547-422C-ADCC-6BA84286AF62}"/>
  <tableColumns count="16">
    <tableColumn id="1" xr3:uid="{425EB9B1-E379-427C-B666-33DE3B0D95B4}" name="Order ID" dataDxfId="9"/>
    <tableColumn id="2" xr3:uid="{2E3F40C9-44AB-4FB7-B1A0-7D56E0EFC5F4}" name="Order Date" dataDxfId="8"/>
    <tableColumn id="3" xr3:uid="{C3EB4A1D-71C1-46D2-8535-8602DB0F52A9}" name="Customer ID" dataDxfId="7"/>
    <tableColumn id="4" xr3:uid="{B625FCA2-0108-42BD-86DB-8D132AA8C108}" name="Product ID"/>
    <tableColumn id="5" xr3:uid="{03E7DDE7-0D51-4DE5-9ACB-2A55BB4AA629}" name="Quantity" dataDxfId="6"/>
    <tableColumn id="6" xr3:uid="{B6D50D34-C4FF-43D3-8E4D-1A3202708DA4}" name="Customer Name" dataDxfId="5">
      <calculatedColumnFormula>_xlfn.XLOOKUP(C2,customers!$A$1:$A$1001,customers!$B$1:$B$1001,,0)</calculatedColumnFormula>
    </tableColumn>
    <tableColumn id="7" xr3:uid="{7FBF1544-A526-4C64-B212-BD63541D0CCC}" name="Email" dataDxfId="4">
      <calculatedColumnFormula>IF(_xlfn.XLOOKUP(C2,customers!$A$1:$A$1001,customers!$C$1:$C$1001,,0)=0, " ",(_xlfn.XLOOKUP(C2,customers!$A$1:$A$1001,customers!$C$1:$C$1001,,0)))</calculatedColumnFormula>
    </tableColumn>
    <tableColumn id="8" xr3:uid="{D7FB05C0-99A8-413C-9400-43A774F3B23C}" name="Country" dataDxfId="3">
      <calculatedColumnFormula>_xlfn.XLOOKUP(C2,customers!$A$1:$A$1001,customers!$G$1:$G$1001,,0)</calculatedColumnFormula>
    </tableColumn>
    <tableColumn id="9" xr3:uid="{30793963-F478-442C-BE2E-E4DB0A0DC1B9}" name="Coffee Type">
      <calculatedColumnFormula>INDEX(products!$A$1:$G$49,MATCH(orders!$D2,products!$A$1:$A$49,0),MATCH(orders!I$1,products!$A$1:$G$1,0))</calculatedColumnFormula>
    </tableColumn>
    <tableColumn id="10" xr3:uid="{595DEC88-D893-4EAC-B773-0BB28BA2D5DD}" name="Roast Type">
      <calculatedColumnFormula>INDEX(products!$A$1:$G$49,MATCH(orders!$D2,products!$A$1:$A$49,0),MATCH(orders!J$1,products!$A$1:$G$1,0))</calculatedColumnFormula>
    </tableColumn>
    <tableColumn id="11" xr3:uid="{12711F43-C807-4E44-BC58-1C12DFADBB5C}" name="Size" dataDxfId="2">
      <calculatedColumnFormula>INDEX(products!$A$1:$G$49,MATCH(orders!$D2,products!$A$1:$A$49,0),MATCH(orders!K$1,products!$A$1:$G$1,0))</calculatedColumnFormula>
    </tableColumn>
    <tableColumn id="12" xr3:uid="{A23AC97C-CAA6-4AA8-826A-070B23D58E5A}" name="Unit Price" dataDxfId="1">
      <calculatedColumnFormula>INDEX(products!$A$1:$G$49,MATCH(orders!$D2,products!$A$1:$A$49,0),MATCH(orders!L$1,products!$A$1:$G$1,0))</calculatedColumnFormula>
    </tableColumn>
    <tableColumn id="13" xr3:uid="{A8A0962D-F5DB-4329-AA59-ADBD4D9193E3}" name="Sales">
      <calculatedColumnFormula>L2*E2</calculatedColumnFormula>
    </tableColumn>
    <tableColumn id="14" xr3:uid="{CE71A74A-BADF-4CB6-8DB9-8310CC28BB1B}" name="Coffee Type Name">
      <calculatedColumnFormula>IF(I2="Rob", "Robusta",IF(I2= "Exc","Excelsa",IF(I2="Ara","Arabica",IF(I2="Lib","Liberica"," "))))</calculatedColumnFormula>
    </tableColumn>
    <tableColumn id="15" xr3:uid="{1CB70B0F-BA97-4371-BB4F-FF6283A642D5}" name="Roast Type Name">
      <calculatedColumnFormula>IF(J2="M","Medium",IF(J2="L","Light", IF(J2= "D","Dark"," ")))</calculatedColumnFormula>
    </tableColumn>
    <tableColumn id="16" xr3:uid="{03EBC0DF-65E7-476A-8056-C8328023F92F}" name="Loyalty Card" dataDxfId="0">
      <calculatedColumnFormula>_xlfn.XLOOKUP(Orders[[#This Row],[Customer ID]],customers!$A$1:$A$1001,customers!$I$1:$I$1001,,0)</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1721CDE-7129-4796-BC04-A533E8C9F716}" sourceName="Order Date">
  <pivotTables>
    <pivotTable tabId="18" name="TotalSales"/>
    <pivotTable tabId="19" name="TotalSales"/>
    <pivotTable tabId="21" name="TotalSales"/>
  </pivotTables>
  <state minimalRefreshVersion="6" lastRefreshVersion="6" pivotCacheId="154881309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677987C-5612-42A6-B69F-8DD9B6EF6FC1}" cache="NativeTimeline_Order_Date" caption="Order Date" level="2" selectionLevel="2" scrollPosition="2019-05-01T00:00:00" style="Blue 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A178D-3A2E-4E53-95CF-44315BCAB8FD}">
  <dimension ref="X1:X26"/>
  <sheetViews>
    <sheetView showGridLines="0" showRowColHeaders="0" tabSelected="1" zoomScale="90" zoomScaleNormal="90" workbookViewId="0">
      <selection activeCell="AC25" sqref="AC25"/>
    </sheetView>
  </sheetViews>
  <sheetFormatPr defaultRowHeight="14.4" x14ac:dyDescent="0.3"/>
  <cols>
    <col min="1" max="1" width="1.77734375" customWidth="1"/>
    <col min="17" max="17" width="1.77734375" customWidth="1"/>
    <col min="22" max="22" width="1.77734375" customWidth="1"/>
  </cols>
  <sheetData>
    <row r="1" spans="24:24" ht="4.95" customHeight="1" x14ac:dyDescent="0.3"/>
    <row r="11" spans="24:24" ht="4.95" customHeight="1" x14ac:dyDescent="0.3"/>
    <row r="14" spans="24:24" x14ac:dyDescent="0.3">
      <c r="X14" s="8"/>
    </row>
    <row r="17" ht="4.95" customHeight="1" x14ac:dyDescent="0.3"/>
    <row r="26"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09D35-7AA1-4DD1-9809-9EB91402226C}">
  <dimension ref="A3:F48"/>
  <sheetViews>
    <sheetView topLeftCell="B1" zoomScaleNormal="100" workbookViewId="0">
      <selection activeCell="S15" sqref="S15"/>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5" t="s">
        <v>6202</v>
      </c>
      <c r="C3" s="5" t="s">
        <v>6196</v>
      </c>
    </row>
    <row r="4" spans="1:6" x14ac:dyDescent="0.3">
      <c r="A4" s="5" t="s">
        <v>6215</v>
      </c>
      <c r="B4" s="5" t="s">
        <v>6216</v>
      </c>
      <c r="C4" t="s">
        <v>6217</v>
      </c>
      <c r="D4" t="s">
        <v>6218</v>
      </c>
      <c r="E4" t="s">
        <v>6219</v>
      </c>
      <c r="F4" t="s">
        <v>6220</v>
      </c>
    </row>
    <row r="5" spans="1:6" x14ac:dyDescent="0.3">
      <c r="A5" t="s">
        <v>6198</v>
      </c>
      <c r="B5" t="s">
        <v>6203</v>
      </c>
      <c r="C5" s="6">
        <v>186.85499999999999</v>
      </c>
      <c r="D5" s="6">
        <v>305.97000000000003</v>
      </c>
      <c r="E5" s="6">
        <v>213.15999999999997</v>
      </c>
      <c r="F5" s="6">
        <v>123</v>
      </c>
    </row>
    <row r="6" spans="1:6" x14ac:dyDescent="0.3">
      <c r="B6" t="s">
        <v>6204</v>
      </c>
      <c r="C6" s="6">
        <v>251.96499999999997</v>
      </c>
      <c r="D6" s="6">
        <v>129.46</v>
      </c>
      <c r="E6" s="6">
        <v>434.03999999999996</v>
      </c>
      <c r="F6" s="6">
        <v>171.93999999999997</v>
      </c>
    </row>
    <row r="7" spans="1:6" x14ac:dyDescent="0.3">
      <c r="B7" t="s">
        <v>6205</v>
      </c>
      <c r="C7" s="6">
        <v>224.94499999999999</v>
      </c>
      <c r="D7" s="6">
        <v>349.12</v>
      </c>
      <c r="E7" s="6">
        <v>321.04000000000002</v>
      </c>
      <c r="F7" s="6">
        <v>126.035</v>
      </c>
    </row>
    <row r="8" spans="1:6" x14ac:dyDescent="0.3">
      <c r="B8" t="s">
        <v>6206</v>
      </c>
      <c r="C8" s="6">
        <v>307.12</v>
      </c>
      <c r="D8" s="6">
        <v>681.07499999999993</v>
      </c>
      <c r="E8" s="6">
        <v>533.70499999999993</v>
      </c>
      <c r="F8" s="6">
        <v>158.85</v>
      </c>
    </row>
    <row r="9" spans="1:6" x14ac:dyDescent="0.3">
      <c r="B9" t="s">
        <v>6207</v>
      </c>
      <c r="C9" s="6">
        <v>53.664999999999992</v>
      </c>
      <c r="D9" s="6">
        <v>83.025000000000006</v>
      </c>
      <c r="E9" s="6">
        <v>193.83499999999998</v>
      </c>
      <c r="F9" s="6">
        <v>68.039999999999992</v>
      </c>
    </row>
    <row r="10" spans="1:6" x14ac:dyDescent="0.3">
      <c r="B10" t="s">
        <v>6208</v>
      </c>
      <c r="C10" s="6">
        <v>163.01999999999998</v>
      </c>
      <c r="D10" s="6">
        <v>678.3599999999999</v>
      </c>
      <c r="E10" s="6">
        <v>171.04500000000002</v>
      </c>
      <c r="F10" s="6">
        <v>372.255</v>
      </c>
    </row>
    <row r="11" spans="1:6" x14ac:dyDescent="0.3">
      <c r="B11" t="s">
        <v>6209</v>
      </c>
      <c r="C11" s="6">
        <v>345.02</v>
      </c>
      <c r="D11" s="6">
        <v>273.86999999999995</v>
      </c>
      <c r="E11" s="6">
        <v>184.12999999999997</v>
      </c>
      <c r="F11" s="6">
        <v>201.11499999999998</v>
      </c>
    </row>
    <row r="12" spans="1:6" x14ac:dyDescent="0.3">
      <c r="B12" t="s">
        <v>6210</v>
      </c>
      <c r="C12" s="6">
        <v>334.89</v>
      </c>
      <c r="D12" s="6">
        <v>70.95</v>
      </c>
      <c r="E12" s="6">
        <v>134.23000000000002</v>
      </c>
      <c r="F12" s="6">
        <v>166.27499999999998</v>
      </c>
    </row>
    <row r="13" spans="1:6" x14ac:dyDescent="0.3">
      <c r="B13" t="s">
        <v>6211</v>
      </c>
      <c r="C13" s="6">
        <v>178.70999999999998</v>
      </c>
      <c r="D13" s="6">
        <v>166.1</v>
      </c>
      <c r="E13" s="6">
        <v>439.30999999999995</v>
      </c>
      <c r="F13" s="6">
        <v>492.9</v>
      </c>
    </row>
    <row r="14" spans="1:6" x14ac:dyDescent="0.3">
      <c r="B14" t="s">
        <v>6212</v>
      </c>
      <c r="C14" s="6">
        <v>301.98500000000001</v>
      </c>
      <c r="D14" s="6">
        <v>153.76499999999999</v>
      </c>
      <c r="E14" s="6">
        <v>215.55499999999998</v>
      </c>
      <c r="F14" s="6">
        <v>213.66499999999999</v>
      </c>
    </row>
    <row r="15" spans="1:6" x14ac:dyDescent="0.3">
      <c r="B15" t="s">
        <v>6213</v>
      </c>
      <c r="C15" s="6">
        <v>312.83499999999998</v>
      </c>
      <c r="D15" s="6">
        <v>63.249999999999993</v>
      </c>
      <c r="E15" s="6">
        <v>350.89500000000004</v>
      </c>
      <c r="F15" s="6">
        <v>96.405000000000001</v>
      </c>
    </row>
    <row r="16" spans="1:6" x14ac:dyDescent="0.3">
      <c r="B16" t="s">
        <v>6214</v>
      </c>
      <c r="C16" s="6">
        <v>265.62</v>
      </c>
      <c r="D16" s="6">
        <v>526.51499999999987</v>
      </c>
      <c r="E16" s="6">
        <v>187.06</v>
      </c>
      <c r="F16" s="6">
        <v>210.58999999999997</v>
      </c>
    </row>
    <row r="17" spans="1:6" x14ac:dyDescent="0.3">
      <c r="A17" t="s">
        <v>6199</v>
      </c>
      <c r="B17" t="s">
        <v>6203</v>
      </c>
      <c r="C17" s="6">
        <v>47.25</v>
      </c>
      <c r="D17" s="6">
        <v>65.805000000000007</v>
      </c>
      <c r="E17" s="6">
        <v>274.67500000000001</v>
      </c>
      <c r="F17" s="6">
        <v>179.22</v>
      </c>
    </row>
    <row r="18" spans="1:6" x14ac:dyDescent="0.3">
      <c r="B18" t="s">
        <v>6204</v>
      </c>
      <c r="C18" s="6">
        <v>745.44999999999993</v>
      </c>
      <c r="D18" s="6">
        <v>428.88499999999999</v>
      </c>
      <c r="E18" s="6">
        <v>194.17499999999998</v>
      </c>
      <c r="F18" s="6">
        <v>429.82999999999993</v>
      </c>
    </row>
    <row r="19" spans="1:6" x14ac:dyDescent="0.3">
      <c r="B19" t="s">
        <v>6205</v>
      </c>
      <c r="C19" s="6">
        <v>130.47</v>
      </c>
      <c r="D19" s="6">
        <v>271.48500000000001</v>
      </c>
      <c r="E19" s="6">
        <v>281.20499999999998</v>
      </c>
      <c r="F19" s="6">
        <v>231.63000000000002</v>
      </c>
    </row>
    <row r="20" spans="1:6" x14ac:dyDescent="0.3">
      <c r="B20" t="s">
        <v>6206</v>
      </c>
      <c r="C20" s="6">
        <v>27</v>
      </c>
      <c r="D20" s="6">
        <v>347.26</v>
      </c>
      <c r="E20" s="6">
        <v>147.51</v>
      </c>
      <c r="F20" s="6">
        <v>240.04</v>
      </c>
    </row>
    <row r="21" spans="1:6" x14ac:dyDescent="0.3">
      <c r="B21" t="s">
        <v>6207</v>
      </c>
      <c r="C21" s="6">
        <v>255.11499999999995</v>
      </c>
      <c r="D21" s="6">
        <v>541.73</v>
      </c>
      <c r="E21" s="6">
        <v>83.43</v>
      </c>
      <c r="F21" s="6">
        <v>59.079999999999991</v>
      </c>
    </row>
    <row r="22" spans="1:6" x14ac:dyDescent="0.3">
      <c r="B22" t="s">
        <v>6208</v>
      </c>
      <c r="C22" s="6">
        <v>584.78999999999985</v>
      </c>
      <c r="D22" s="6">
        <v>357.42999999999995</v>
      </c>
      <c r="E22" s="6">
        <v>355.34</v>
      </c>
      <c r="F22" s="6">
        <v>140.88</v>
      </c>
    </row>
    <row r="23" spans="1:6" x14ac:dyDescent="0.3">
      <c r="B23" t="s">
        <v>6209</v>
      </c>
      <c r="C23" s="6">
        <v>430.62</v>
      </c>
      <c r="D23" s="6">
        <v>227.42500000000001</v>
      </c>
      <c r="E23" s="6">
        <v>236.315</v>
      </c>
      <c r="F23" s="6">
        <v>414.58499999999992</v>
      </c>
    </row>
    <row r="24" spans="1:6" x14ac:dyDescent="0.3">
      <c r="B24" t="s">
        <v>6210</v>
      </c>
      <c r="C24" s="6">
        <v>22.5</v>
      </c>
      <c r="D24" s="6">
        <v>77.72</v>
      </c>
      <c r="E24" s="6">
        <v>60.5</v>
      </c>
      <c r="F24" s="6">
        <v>139.67999999999998</v>
      </c>
    </row>
    <row r="25" spans="1:6" x14ac:dyDescent="0.3">
      <c r="B25" t="s">
        <v>6211</v>
      </c>
      <c r="C25" s="6">
        <v>126.14999999999999</v>
      </c>
      <c r="D25" s="6">
        <v>195.11</v>
      </c>
      <c r="E25" s="6">
        <v>89.13</v>
      </c>
      <c r="F25" s="6">
        <v>302.65999999999997</v>
      </c>
    </row>
    <row r="26" spans="1:6" x14ac:dyDescent="0.3">
      <c r="B26" t="s">
        <v>6212</v>
      </c>
      <c r="C26" s="6">
        <v>376.03</v>
      </c>
      <c r="D26" s="6">
        <v>523.24</v>
      </c>
      <c r="E26" s="6">
        <v>440.96499999999997</v>
      </c>
      <c r="F26" s="6">
        <v>174.46999999999997</v>
      </c>
    </row>
    <row r="27" spans="1:6" x14ac:dyDescent="0.3">
      <c r="B27" t="s">
        <v>6213</v>
      </c>
      <c r="C27" s="6">
        <v>515.17999999999995</v>
      </c>
      <c r="D27" s="6">
        <v>142.56</v>
      </c>
      <c r="E27" s="6">
        <v>347.03999999999996</v>
      </c>
      <c r="F27" s="6">
        <v>104.08499999999999</v>
      </c>
    </row>
    <row r="28" spans="1:6" x14ac:dyDescent="0.3">
      <c r="B28" t="s">
        <v>6214</v>
      </c>
      <c r="C28" s="6">
        <v>95.859999999999985</v>
      </c>
      <c r="D28" s="6">
        <v>484.76</v>
      </c>
      <c r="E28" s="6">
        <v>94.17</v>
      </c>
      <c r="F28" s="6">
        <v>77.10499999999999</v>
      </c>
    </row>
    <row r="29" spans="1:6" x14ac:dyDescent="0.3">
      <c r="A29" t="s">
        <v>6200</v>
      </c>
      <c r="B29" t="s">
        <v>6203</v>
      </c>
      <c r="C29" s="6">
        <v>258.34500000000003</v>
      </c>
      <c r="D29" s="6">
        <v>139.625</v>
      </c>
      <c r="E29" s="6">
        <v>279.52000000000004</v>
      </c>
      <c r="F29" s="6">
        <v>160.19499999999999</v>
      </c>
    </row>
    <row r="30" spans="1:6" x14ac:dyDescent="0.3">
      <c r="B30" t="s">
        <v>6204</v>
      </c>
      <c r="C30" s="6">
        <v>342.2</v>
      </c>
      <c r="D30" s="6">
        <v>284.24999999999994</v>
      </c>
      <c r="E30" s="6">
        <v>251.83</v>
      </c>
      <c r="F30" s="6">
        <v>80.550000000000011</v>
      </c>
    </row>
    <row r="31" spans="1:6" x14ac:dyDescent="0.3">
      <c r="B31" t="s">
        <v>6205</v>
      </c>
      <c r="C31" s="6">
        <v>418.30499999999989</v>
      </c>
      <c r="D31" s="6">
        <v>468.125</v>
      </c>
      <c r="E31" s="6">
        <v>405.05500000000006</v>
      </c>
      <c r="F31" s="6">
        <v>253.15499999999997</v>
      </c>
    </row>
    <row r="32" spans="1:6" x14ac:dyDescent="0.3">
      <c r="B32" t="s">
        <v>6206</v>
      </c>
      <c r="C32" s="6">
        <v>102.32999999999998</v>
      </c>
      <c r="D32" s="6">
        <v>242.14000000000001</v>
      </c>
      <c r="E32" s="6">
        <v>554.875</v>
      </c>
      <c r="F32" s="6">
        <v>106.23999999999998</v>
      </c>
    </row>
    <row r="33" spans="1:6" x14ac:dyDescent="0.3">
      <c r="B33" t="s">
        <v>6207</v>
      </c>
      <c r="C33" s="6">
        <v>234.71999999999997</v>
      </c>
      <c r="D33" s="6">
        <v>133.08000000000001</v>
      </c>
      <c r="E33" s="6">
        <v>267.2</v>
      </c>
      <c r="F33" s="6">
        <v>272.68999999999994</v>
      </c>
    </row>
    <row r="34" spans="1:6" x14ac:dyDescent="0.3">
      <c r="B34" t="s">
        <v>6208</v>
      </c>
      <c r="C34" s="6">
        <v>430.39</v>
      </c>
      <c r="D34" s="6">
        <v>136.20500000000001</v>
      </c>
      <c r="E34" s="6">
        <v>209.6</v>
      </c>
      <c r="F34" s="6">
        <v>88.334999999999994</v>
      </c>
    </row>
    <row r="35" spans="1:6" x14ac:dyDescent="0.3">
      <c r="B35" t="s">
        <v>6209</v>
      </c>
      <c r="C35" s="6">
        <v>109.005</v>
      </c>
      <c r="D35" s="6">
        <v>393.57499999999999</v>
      </c>
      <c r="E35" s="6">
        <v>61.034999999999997</v>
      </c>
      <c r="F35" s="6">
        <v>199.48999999999998</v>
      </c>
    </row>
    <row r="36" spans="1:6" x14ac:dyDescent="0.3">
      <c r="B36" t="s">
        <v>6210</v>
      </c>
      <c r="C36" s="6">
        <v>287.52499999999998</v>
      </c>
      <c r="D36" s="6">
        <v>288.67</v>
      </c>
      <c r="E36" s="6">
        <v>125.58</v>
      </c>
      <c r="F36" s="6">
        <v>374.13499999999999</v>
      </c>
    </row>
    <row r="37" spans="1:6" x14ac:dyDescent="0.3">
      <c r="B37" t="s">
        <v>6211</v>
      </c>
      <c r="C37" s="6">
        <v>840.92999999999984</v>
      </c>
      <c r="D37" s="6">
        <v>409.875</v>
      </c>
      <c r="E37" s="6">
        <v>171.32999999999998</v>
      </c>
      <c r="F37" s="6">
        <v>221.43999999999997</v>
      </c>
    </row>
    <row r="38" spans="1:6" x14ac:dyDescent="0.3">
      <c r="B38" t="s">
        <v>6212</v>
      </c>
      <c r="C38" s="6">
        <v>299.07</v>
      </c>
      <c r="D38" s="6">
        <v>260.32499999999999</v>
      </c>
      <c r="E38" s="6">
        <v>584.64</v>
      </c>
      <c r="F38" s="6">
        <v>256.36500000000001</v>
      </c>
    </row>
    <row r="39" spans="1:6" x14ac:dyDescent="0.3">
      <c r="B39" t="s">
        <v>6213</v>
      </c>
      <c r="C39" s="6">
        <v>323.32499999999999</v>
      </c>
      <c r="D39" s="6">
        <v>565.57000000000005</v>
      </c>
      <c r="E39" s="6">
        <v>537.80999999999995</v>
      </c>
      <c r="F39" s="6">
        <v>189.47499999999999</v>
      </c>
    </row>
    <row r="40" spans="1:6" x14ac:dyDescent="0.3">
      <c r="B40" t="s">
        <v>6214</v>
      </c>
      <c r="C40" s="6">
        <v>399.48499999999996</v>
      </c>
      <c r="D40" s="6">
        <v>148.19999999999999</v>
      </c>
      <c r="E40" s="6">
        <v>388.21999999999997</v>
      </c>
      <c r="F40" s="6">
        <v>212.07499999999999</v>
      </c>
    </row>
    <row r="41" spans="1:6" x14ac:dyDescent="0.3">
      <c r="A41" t="s">
        <v>6201</v>
      </c>
      <c r="B41" t="s">
        <v>6203</v>
      </c>
      <c r="C41" s="6">
        <v>112.69499999999999</v>
      </c>
      <c r="D41" s="6">
        <v>166.32</v>
      </c>
      <c r="E41" s="6">
        <v>843.71499999999992</v>
      </c>
      <c r="F41" s="6">
        <v>146.685</v>
      </c>
    </row>
    <row r="42" spans="1:6" x14ac:dyDescent="0.3">
      <c r="B42" t="s">
        <v>6204</v>
      </c>
      <c r="C42" s="6">
        <v>114.87999999999998</v>
      </c>
      <c r="D42" s="6">
        <v>133.815</v>
      </c>
      <c r="E42" s="6">
        <v>91.175000000000011</v>
      </c>
      <c r="F42" s="6">
        <v>53.759999999999991</v>
      </c>
    </row>
    <row r="43" spans="1:6" x14ac:dyDescent="0.3">
      <c r="B43" t="s">
        <v>6205</v>
      </c>
      <c r="C43" s="6">
        <v>277.76</v>
      </c>
      <c r="D43" s="6">
        <v>175.41</v>
      </c>
      <c r="E43" s="6">
        <v>462.50999999999993</v>
      </c>
      <c r="F43" s="6">
        <v>399.52499999999998</v>
      </c>
    </row>
    <row r="44" spans="1:6" x14ac:dyDescent="0.3">
      <c r="B44" t="s">
        <v>6206</v>
      </c>
      <c r="C44" s="6">
        <v>197.89499999999998</v>
      </c>
      <c r="D44" s="6">
        <v>289.755</v>
      </c>
      <c r="E44" s="6">
        <v>88.545000000000002</v>
      </c>
      <c r="F44" s="6">
        <v>200.25499999999997</v>
      </c>
    </row>
    <row r="45" spans="1:6" x14ac:dyDescent="0.3">
      <c r="B45" t="s">
        <v>6207</v>
      </c>
      <c r="C45" s="6">
        <v>193.11499999999998</v>
      </c>
      <c r="D45" s="6">
        <v>212.49499999999998</v>
      </c>
      <c r="E45" s="6">
        <v>292.29000000000002</v>
      </c>
      <c r="F45" s="6">
        <v>304.46999999999997</v>
      </c>
    </row>
    <row r="46" spans="1:6" x14ac:dyDescent="0.3">
      <c r="B46" t="s">
        <v>6208</v>
      </c>
      <c r="C46" s="6">
        <v>179.79</v>
      </c>
      <c r="D46" s="6">
        <v>426.2</v>
      </c>
      <c r="E46" s="6">
        <v>170.08999999999997</v>
      </c>
      <c r="F46" s="6">
        <v>379.31</v>
      </c>
    </row>
    <row r="47" spans="1:6" x14ac:dyDescent="0.3">
      <c r="B47" t="s">
        <v>6209</v>
      </c>
      <c r="C47" s="6">
        <v>247.28999999999996</v>
      </c>
      <c r="D47" s="6">
        <v>246.685</v>
      </c>
      <c r="E47" s="6">
        <v>271.05499999999995</v>
      </c>
      <c r="F47" s="6">
        <v>141.69999999999999</v>
      </c>
    </row>
    <row r="48" spans="1:6" x14ac:dyDescent="0.3">
      <c r="B48" t="s">
        <v>6210</v>
      </c>
      <c r="C48" s="6">
        <v>116.39499999999998</v>
      </c>
      <c r="D48" s="6">
        <v>41.25</v>
      </c>
      <c r="E48" s="6">
        <v>15.54</v>
      </c>
      <c r="F48" s="6">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8802-B752-40C2-897E-68EA4D2ECA9A}">
  <dimension ref="A3:B6"/>
  <sheetViews>
    <sheetView zoomScaleNormal="100" workbookViewId="0">
      <selection activeCell="B4" sqref="B4"/>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5" t="s">
        <v>7</v>
      </c>
      <c r="B3" t="s">
        <v>6202</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8012E-4F6B-4148-849A-79362DCC7F70}">
  <dimension ref="A3:B8"/>
  <sheetViews>
    <sheetView zoomScaleNormal="100" workbookViewId="0">
      <selection activeCell="P7" sqref="P7"/>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5" t="s">
        <v>4</v>
      </c>
      <c r="B3" t="s">
        <v>6202</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5" zoomScaleNormal="85" workbookViewId="0">
      <selection activeCell="Q12" sqref="Q12"/>
    </sheetView>
  </sheetViews>
  <sheetFormatPr defaultRowHeight="14.4" x14ac:dyDescent="0.3"/>
  <cols>
    <col min="1" max="1" width="15.21875" bestFit="1" customWidth="1"/>
    <col min="2" max="2" width="12" customWidth="1"/>
    <col min="3" max="3" width="17.6640625" customWidth="1"/>
    <col min="4" max="4" width="11.77734375" customWidth="1"/>
    <col min="5" max="5" width="10.21875" customWidth="1"/>
    <col min="6" max="6" width="21.77734375" bestFit="1" customWidth="1"/>
    <col min="7" max="7" width="35.5546875" bestFit="1" customWidth="1"/>
    <col min="8" max="8" width="14.33203125" bestFit="1" customWidth="1"/>
    <col min="9" max="9" width="13" customWidth="1"/>
    <col min="10" max="10" width="12.109375" customWidth="1"/>
    <col min="11" max="11" width="6.6640625" bestFit="1" customWidth="1"/>
    <col min="12" max="12" width="11" customWidth="1"/>
    <col min="13" max="13" width="8" bestFit="1" customWidth="1"/>
    <col min="14" max="14" width="18.44140625" customWidth="1"/>
    <col min="15" max="15" width="17.5546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 " ",(_xlfn.XLOOKUP(C2,customers!$A$1:$A$1001,customers!$C$1:$C$1001,,0)))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4">
        <f>INDEX(products!$A$1:$G$49,MATCH(orders!$D2,products!$A$1:$A$49,0),MATCH(orders!L$1,products!$A$1:$G$1,0))</f>
        <v>9.9499999999999993</v>
      </c>
      <c r="M2">
        <f>L2*E2</f>
        <v>19.899999999999999</v>
      </c>
      <c r="N2" t="str">
        <f>IF(I2="Rob", "Robusta",IF(I2= "Exc","Excelsa",IF(I2="Ara","Arabica",IF(I2="Lib","Liberica"," "))))</f>
        <v>Robusta</v>
      </c>
      <c r="O2" t="str">
        <f>IF(J2="M","Medium",IF(J2="L","Light", IF(J2= "D","Dark"," ")))</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 " ",(_xlfn.XLOOKUP(C3,customers!$A$1:$A$1001,customers!$C$1:$C$1001,,0)))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4">
        <f>INDEX(products!$A$1:$G$49,MATCH(orders!$D3,products!$A$1:$A$49,0),MATCH(orders!L$1,products!$A$1:$G$1,0))</f>
        <v>8.25</v>
      </c>
      <c r="M3">
        <f t="shared" ref="M3:M66" si="0">L3*E3</f>
        <v>41.25</v>
      </c>
      <c r="N3" t="str">
        <f t="shared" ref="N3:N66" si="1">IF(I3="Rob", "Robusta",IF(I3= "Exc","Excelsa",IF(I3="Ara","Arabica",IF(I3="Lib","Liberica"," "))))</f>
        <v>Excelsa</v>
      </c>
      <c r="O3" t="str">
        <f t="shared" ref="O3:O66" si="2">IF(J3="M","Medium",IF(J3="L","Light", IF(J3= "D","Dark"," ")))</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 " ",(_xlfn.XLOOKUP(C4,customers!$A$1:$A$1001,customers!$C$1:$C$1001,,0)))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4">
        <f>INDEX(products!$A$1:$G$49,MATCH(orders!$D4,products!$A$1:$A$49,0),MATCH(orders!L$1,products!$A$1:$G$1,0))</f>
        <v>12.95</v>
      </c>
      <c r="M4">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 " ",(_xlfn.XLOOKUP(C5,customers!$A$1:$A$1001,customers!$C$1:$C$1001,,0)))</f>
        <v xml:space="preserve">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4">
        <f>INDEX(products!$A$1:$G$49,MATCH(orders!$D5,products!$A$1:$A$49,0),MATCH(orders!L$1,products!$A$1:$G$1,0))</f>
        <v>13.75</v>
      </c>
      <c r="M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 " ",(_xlfn.XLOOKUP(C6,customers!$A$1:$A$1001,customers!$C$1:$C$1001,,0)))</f>
        <v xml:space="preserve">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4">
        <f>INDEX(products!$A$1:$G$49,MATCH(orders!$D6,products!$A$1:$A$49,0),MATCH(orders!L$1,products!$A$1:$G$1,0))</f>
        <v>27.484999999999996</v>
      </c>
      <c r="M6">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 " ",(_xlfn.XLOOKUP(C7,customers!$A$1:$A$1001,customers!$C$1:$C$1001,,0)))</f>
        <v xml:space="preserve">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4">
        <f>INDEX(products!$A$1:$G$49,MATCH(orders!$D7,products!$A$1:$A$49,0),MATCH(orders!L$1,products!$A$1:$G$1,0))</f>
        <v>12.95</v>
      </c>
      <c r="M7">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 " ",(_xlfn.XLOOKUP(C8,customers!$A$1:$A$1001,customers!$C$1:$C$1001,,0)))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4">
        <f>INDEX(products!$A$1:$G$49,MATCH(orders!$D8,products!$A$1:$A$49,0),MATCH(orders!L$1,products!$A$1:$G$1,0))</f>
        <v>7.29</v>
      </c>
      <c r="M8">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 " ",(_xlfn.XLOOKUP(C9,customers!$A$1:$A$1001,customers!$C$1:$C$1001,,0)))</f>
        <v xml:space="preserve">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4">
        <f>INDEX(products!$A$1:$G$49,MATCH(orders!$D9,products!$A$1:$A$49,0),MATCH(orders!L$1,products!$A$1:$G$1,0))</f>
        <v>4.7549999999999999</v>
      </c>
      <c r="M9">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 " ",(_xlfn.XLOOKUP(C10,customers!$A$1:$A$1001,customers!$C$1:$C$1001,,0)))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4">
        <f>INDEX(products!$A$1:$G$49,MATCH(orders!$D10,products!$A$1:$A$49,0),MATCH(orders!L$1,products!$A$1:$G$1,0))</f>
        <v>5.97</v>
      </c>
      <c r="M10">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 " ",(_xlfn.XLOOKUP(C11,customers!$A$1:$A$1001,customers!$C$1:$C$1001,,0)))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4">
        <f>INDEX(products!$A$1:$G$49,MATCH(orders!$D11,products!$A$1:$A$49,0),MATCH(orders!L$1,products!$A$1:$G$1,0))</f>
        <v>5.97</v>
      </c>
      <c r="M11">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 " ",(_xlfn.XLOOKUP(C12,customers!$A$1:$A$1001,customers!$C$1:$C$1001,,0)))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4">
        <f>INDEX(products!$A$1:$G$49,MATCH(orders!$D12,products!$A$1:$A$49,0),MATCH(orders!L$1,products!$A$1:$G$1,0))</f>
        <v>9.9499999999999993</v>
      </c>
      <c r="M12">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 " ",(_xlfn.XLOOKUP(C13,customers!$A$1:$A$1001,customers!$C$1:$C$1001,,0)))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4">
        <f>INDEX(products!$A$1:$G$49,MATCH(orders!$D13,products!$A$1:$A$49,0),MATCH(orders!L$1,products!$A$1:$G$1,0))</f>
        <v>34.154999999999994</v>
      </c>
      <c r="M13">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 " ",(_xlfn.XLOOKUP(C14,customers!$A$1:$A$1001,customers!$C$1:$C$1001,,0)))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4">
        <f>INDEX(products!$A$1:$G$49,MATCH(orders!$D14,products!$A$1:$A$49,0),MATCH(orders!L$1,products!$A$1:$G$1,0))</f>
        <v>9.9499999999999993</v>
      </c>
      <c r="M14">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 " ",(_xlfn.XLOOKUP(C15,customers!$A$1:$A$1001,customers!$C$1:$C$1001,,0)))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4">
        <f>INDEX(products!$A$1:$G$49,MATCH(orders!$D15,products!$A$1:$A$49,0),MATCH(orders!L$1,products!$A$1:$G$1,0))</f>
        <v>20.584999999999997</v>
      </c>
      <c r="M1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 " ",(_xlfn.XLOOKUP(C16,customers!$A$1:$A$1001,customers!$C$1:$C$1001,,0)))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4">
        <f>INDEX(products!$A$1:$G$49,MATCH(orders!$D16,products!$A$1:$A$49,0),MATCH(orders!L$1,products!$A$1:$G$1,0))</f>
        <v>3.8849999999999998</v>
      </c>
      <c r="M16">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 " ",(_xlfn.XLOOKUP(C17,customers!$A$1:$A$1001,customers!$C$1:$C$1001,,0)))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4">
        <f>INDEX(products!$A$1:$G$49,MATCH(orders!$D17,products!$A$1:$A$49,0),MATCH(orders!L$1,products!$A$1:$G$1,0))</f>
        <v>22.884999999999998</v>
      </c>
      <c r="M17">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 " ",(_xlfn.XLOOKUP(C18,customers!$A$1:$A$1001,customers!$C$1:$C$1001,,0)))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4">
        <f>INDEX(products!$A$1:$G$49,MATCH(orders!$D18,products!$A$1:$A$49,0),MATCH(orders!L$1,products!$A$1:$G$1,0))</f>
        <v>3.375</v>
      </c>
      <c r="M18">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 " ",(_xlfn.XLOOKUP(C19,customers!$A$1:$A$1001,customers!$C$1:$C$1001,,0)))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4">
        <f>INDEX(products!$A$1:$G$49,MATCH(orders!$D19,products!$A$1:$A$49,0),MATCH(orders!L$1,products!$A$1:$G$1,0))</f>
        <v>12.95</v>
      </c>
      <c r="M19">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 " ",(_xlfn.XLOOKUP(C20,customers!$A$1:$A$1001,customers!$C$1:$C$1001,,0)))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4">
        <f>INDEX(products!$A$1:$G$49,MATCH(orders!$D20,products!$A$1:$A$49,0),MATCH(orders!L$1,products!$A$1:$G$1,0))</f>
        <v>20.584999999999997</v>
      </c>
      <c r="M20">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 " ",(_xlfn.XLOOKUP(C21,customers!$A$1:$A$1001,customers!$C$1:$C$1001,,0)))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4">
        <f>INDEX(products!$A$1:$G$49,MATCH(orders!$D21,products!$A$1:$A$49,0),MATCH(orders!L$1,products!$A$1:$G$1,0))</f>
        <v>3.375</v>
      </c>
      <c r="M21">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 " ",(_xlfn.XLOOKUP(C22,customers!$A$1:$A$1001,customers!$C$1:$C$1001,,0)))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4">
        <f>INDEX(products!$A$1:$G$49,MATCH(orders!$D22,products!$A$1:$A$49,0),MATCH(orders!L$1,products!$A$1:$G$1,0))</f>
        <v>3.645</v>
      </c>
      <c r="M22">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 " ",(_xlfn.XLOOKUP(C23,customers!$A$1:$A$1001,customers!$C$1:$C$1001,,0)))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4">
        <f>INDEX(products!$A$1:$G$49,MATCH(orders!$D23,products!$A$1:$A$49,0),MATCH(orders!L$1,products!$A$1:$G$1,0))</f>
        <v>2.9849999999999999</v>
      </c>
      <c r="M23">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 " ",(_xlfn.XLOOKUP(C24,customers!$A$1:$A$1001,customers!$C$1:$C$1001,,0)))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4">
        <f>INDEX(products!$A$1:$G$49,MATCH(orders!$D24,products!$A$1:$A$49,0),MATCH(orders!L$1,products!$A$1:$G$1,0))</f>
        <v>22.884999999999998</v>
      </c>
      <c r="M24">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 " ",(_xlfn.XLOOKUP(C25,customers!$A$1:$A$1001,customers!$C$1:$C$1001,,0)))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4">
        <f>INDEX(products!$A$1:$G$49,MATCH(orders!$D25,products!$A$1:$A$49,0),MATCH(orders!L$1,products!$A$1:$G$1,0))</f>
        <v>2.9849999999999999</v>
      </c>
      <c r="M2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 " ",(_xlfn.XLOOKUP(C26,customers!$A$1:$A$1001,customers!$C$1:$C$1001,,0)))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4">
        <f>INDEX(products!$A$1:$G$49,MATCH(orders!$D26,products!$A$1:$A$49,0),MATCH(orders!L$1,products!$A$1:$G$1,0))</f>
        <v>11.25</v>
      </c>
      <c r="M26">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 " ",(_xlfn.XLOOKUP(C27,customers!$A$1:$A$1001,customers!$C$1:$C$1001,,0)))</f>
        <v xml:space="preserve">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4">
        <f>INDEX(products!$A$1:$G$49,MATCH(orders!$D27,products!$A$1:$A$49,0),MATCH(orders!L$1,products!$A$1:$G$1,0))</f>
        <v>4.125</v>
      </c>
      <c r="M27">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 " ",(_xlfn.XLOOKUP(C28,customers!$A$1:$A$1001,customers!$C$1:$C$1001,,0)))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4">
        <f>INDEX(products!$A$1:$G$49,MATCH(orders!$D28,products!$A$1:$A$49,0),MATCH(orders!L$1,products!$A$1:$G$1,0))</f>
        <v>6.75</v>
      </c>
      <c r="M28">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 " ",(_xlfn.XLOOKUP(C29,customers!$A$1:$A$1001,customers!$C$1:$C$1001,,0)))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4">
        <f>INDEX(products!$A$1:$G$49,MATCH(orders!$D29,products!$A$1:$A$49,0),MATCH(orders!L$1,products!$A$1:$G$1,0))</f>
        <v>3.375</v>
      </c>
      <c r="M29">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 " ",(_xlfn.XLOOKUP(C30,customers!$A$1:$A$1001,customers!$C$1:$C$1001,,0)))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4">
        <f>INDEX(products!$A$1:$G$49,MATCH(orders!$D30,products!$A$1:$A$49,0),MATCH(orders!L$1,products!$A$1:$G$1,0))</f>
        <v>5.97</v>
      </c>
      <c r="M30">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 " ",(_xlfn.XLOOKUP(C31,customers!$A$1:$A$1001,customers!$C$1:$C$1001,,0)))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4">
        <f>INDEX(products!$A$1:$G$49,MATCH(orders!$D31,products!$A$1:$A$49,0),MATCH(orders!L$1,products!$A$1:$G$1,0))</f>
        <v>9.9499999999999993</v>
      </c>
      <c r="M31">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 " ",(_xlfn.XLOOKUP(C32,customers!$A$1:$A$1001,customers!$C$1:$C$1001,,0)))</f>
        <v xml:space="preserve">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4">
        <f>INDEX(products!$A$1:$G$49,MATCH(orders!$D32,products!$A$1:$A$49,0),MATCH(orders!L$1,products!$A$1:$G$1,0))</f>
        <v>4.3650000000000002</v>
      </c>
      <c r="M32">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 " ",(_xlfn.XLOOKUP(C33,customers!$A$1:$A$1001,customers!$C$1:$C$1001,,0)))</f>
        <v xml:space="preserve">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4">
        <f>INDEX(products!$A$1:$G$49,MATCH(orders!$D33,products!$A$1:$A$49,0),MATCH(orders!L$1,products!$A$1:$G$1,0))</f>
        <v>5.97</v>
      </c>
      <c r="M33">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 " ",(_xlfn.XLOOKUP(C34,customers!$A$1:$A$1001,customers!$C$1:$C$1001,,0)))</f>
        <v xml:space="preserve">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4">
        <f>INDEX(products!$A$1:$G$49,MATCH(orders!$D34,products!$A$1:$A$49,0),MATCH(orders!L$1,products!$A$1:$G$1,0))</f>
        <v>8.73</v>
      </c>
      <c r="M34">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 " ",(_xlfn.XLOOKUP(C35,customers!$A$1:$A$1001,customers!$C$1:$C$1001,,0)))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4">
        <f>INDEX(products!$A$1:$G$49,MATCH(orders!$D35,products!$A$1:$A$49,0),MATCH(orders!L$1,products!$A$1:$G$1,0))</f>
        <v>4.7549999999999999</v>
      </c>
      <c r="M3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 " ",(_xlfn.XLOOKUP(C36,customers!$A$1:$A$1001,customers!$C$1:$C$1001,,0)))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4">
        <f>INDEX(products!$A$1:$G$49,MATCH(orders!$D36,products!$A$1:$A$49,0),MATCH(orders!L$1,products!$A$1:$G$1,0))</f>
        <v>9.51</v>
      </c>
      <c r="M36">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 " ",(_xlfn.XLOOKUP(C37,customers!$A$1:$A$1001,customers!$C$1:$C$1001,,0)))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4">
        <f>INDEX(products!$A$1:$G$49,MATCH(orders!$D37,products!$A$1:$A$49,0),MATCH(orders!L$1,products!$A$1:$G$1,0))</f>
        <v>5.97</v>
      </c>
      <c r="M37">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 " ",(_xlfn.XLOOKUP(C38,customers!$A$1:$A$1001,customers!$C$1:$C$1001,,0)))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4">
        <f>INDEX(products!$A$1:$G$49,MATCH(orders!$D38,products!$A$1:$A$49,0),MATCH(orders!L$1,products!$A$1:$G$1,0))</f>
        <v>4.3650000000000002</v>
      </c>
      <c r="M38">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 " ",(_xlfn.XLOOKUP(C39,customers!$A$1:$A$1001,customers!$C$1:$C$1001,,0)))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4">
        <f>INDEX(products!$A$1:$G$49,MATCH(orders!$D39,products!$A$1:$A$49,0),MATCH(orders!L$1,products!$A$1:$G$1,0))</f>
        <v>9.51</v>
      </c>
      <c r="M39">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 " ",(_xlfn.XLOOKUP(C40,customers!$A$1:$A$1001,customers!$C$1:$C$1001,,0)))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4">
        <f>INDEX(products!$A$1:$G$49,MATCH(orders!$D40,products!$A$1:$A$49,0),MATCH(orders!L$1,products!$A$1:$G$1,0))</f>
        <v>22.884999999999998</v>
      </c>
      <c r="M40">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 " ",(_xlfn.XLOOKUP(C41,customers!$A$1:$A$1001,customers!$C$1:$C$1001,,0)))</f>
        <v xml:space="preserve">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4">
        <f>INDEX(products!$A$1:$G$49,MATCH(orders!$D41,products!$A$1:$A$49,0),MATCH(orders!L$1,products!$A$1:$G$1,0))</f>
        <v>9.9499999999999993</v>
      </c>
      <c r="M41">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 " ",(_xlfn.XLOOKUP(C42,customers!$A$1:$A$1001,customers!$C$1:$C$1001,,0)))</f>
        <v xml:space="preserve">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4">
        <f>INDEX(products!$A$1:$G$49,MATCH(orders!$D42,products!$A$1:$A$49,0),MATCH(orders!L$1,products!$A$1:$G$1,0))</f>
        <v>14.55</v>
      </c>
      <c r="M42">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 " ",(_xlfn.XLOOKUP(C43,customers!$A$1:$A$1001,customers!$C$1:$C$1001,,0)))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4">
        <f>INDEX(products!$A$1:$G$49,MATCH(orders!$D43,products!$A$1:$A$49,0),MATCH(orders!L$1,products!$A$1:$G$1,0))</f>
        <v>3.645</v>
      </c>
      <c r="M43">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 " ",(_xlfn.XLOOKUP(C44,customers!$A$1:$A$1001,customers!$C$1:$C$1001,,0)))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4">
        <f>INDEX(products!$A$1:$G$49,MATCH(orders!$D44,products!$A$1:$A$49,0),MATCH(orders!L$1,products!$A$1:$G$1,0))</f>
        <v>2.6849999999999996</v>
      </c>
      <c r="M44">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 " ",(_xlfn.XLOOKUP(C45,customers!$A$1:$A$1001,customers!$C$1:$C$1001,,0)))</f>
        <v xml:space="preserve">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4">
        <f>INDEX(products!$A$1:$G$49,MATCH(orders!$D45,products!$A$1:$A$49,0),MATCH(orders!L$1,products!$A$1:$G$1,0))</f>
        <v>36.454999999999998</v>
      </c>
      <c r="M4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 " ",(_xlfn.XLOOKUP(C46,customers!$A$1:$A$1001,customers!$C$1:$C$1001,,0)))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4">
        <f>INDEX(products!$A$1:$G$49,MATCH(orders!$D46,products!$A$1:$A$49,0),MATCH(orders!L$1,products!$A$1:$G$1,0))</f>
        <v>8.25</v>
      </c>
      <c r="M46">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 " ",(_xlfn.XLOOKUP(C47,customers!$A$1:$A$1001,customers!$C$1:$C$1001,,0)))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4">
        <f>INDEX(products!$A$1:$G$49,MATCH(orders!$D47,products!$A$1:$A$49,0),MATCH(orders!L$1,products!$A$1:$G$1,0))</f>
        <v>29.784999999999997</v>
      </c>
      <c r="M47">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 " ",(_xlfn.XLOOKUP(C48,customers!$A$1:$A$1001,customers!$C$1:$C$1001,,0)))</f>
        <v xml:space="preserve">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4">
        <f>INDEX(products!$A$1:$G$49,MATCH(orders!$D48,products!$A$1:$A$49,0),MATCH(orders!L$1,products!$A$1:$G$1,0))</f>
        <v>31.624999999999996</v>
      </c>
      <c r="M48">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 " ",(_xlfn.XLOOKUP(C49,customers!$A$1:$A$1001,customers!$C$1:$C$1001,,0)))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4">
        <f>INDEX(products!$A$1:$G$49,MATCH(orders!$D49,products!$A$1:$A$49,0),MATCH(orders!L$1,products!$A$1:$G$1,0))</f>
        <v>3.8849999999999998</v>
      </c>
      <c r="M49">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 " ",(_xlfn.XLOOKUP(C50,customers!$A$1:$A$1001,customers!$C$1:$C$1001,,0)))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4">
        <f>INDEX(products!$A$1:$G$49,MATCH(orders!$D50,products!$A$1:$A$49,0),MATCH(orders!L$1,products!$A$1:$G$1,0))</f>
        <v>22.884999999999998</v>
      </c>
      <c r="M50">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 " ",(_xlfn.XLOOKUP(C51,customers!$A$1:$A$1001,customers!$C$1:$C$1001,,0)))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4">
        <f>INDEX(products!$A$1:$G$49,MATCH(orders!$D51,products!$A$1:$A$49,0),MATCH(orders!L$1,products!$A$1:$G$1,0))</f>
        <v>12.95</v>
      </c>
      <c r="M51">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 " ",(_xlfn.XLOOKUP(C52,customers!$A$1:$A$1001,customers!$C$1:$C$1001,,0)))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4">
        <f>INDEX(products!$A$1:$G$49,MATCH(orders!$D52,products!$A$1:$A$49,0),MATCH(orders!L$1,products!$A$1:$G$1,0))</f>
        <v>7.77</v>
      </c>
      <c r="M52">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 " ",(_xlfn.XLOOKUP(C53,customers!$A$1:$A$1001,customers!$C$1:$C$1001,,0)))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4">
        <f>INDEX(products!$A$1:$G$49,MATCH(orders!$D53,products!$A$1:$A$49,0),MATCH(orders!L$1,products!$A$1:$G$1,0))</f>
        <v>36.454999999999998</v>
      </c>
      <c r="M53">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 " ",(_xlfn.XLOOKUP(C54,customers!$A$1:$A$1001,customers!$C$1:$C$1001,,0)))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4">
        <f>INDEX(products!$A$1:$G$49,MATCH(orders!$D54,products!$A$1:$A$49,0),MATCH(orders!L$1,products!$A$1:$G$1,0))</f>
        <v>5.97</v>
      </c>
      <c r="M54">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 " ",(_xlfn.XLOOKUP(C55,customers!$A$1:$A$1001,customers!$C$1:$C$1001,,0)))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4">
        <f>INDEX(products!$A$1:$G$49,MATCH(orders!$D55,products!$A$1:$A$49,0),MATCH(orders!L$1,products!$A$1:$G$1,0))</f>
        <v>36.454999999999998</v>
      </c>
      <c r="M5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 " ",(_xlfn.XLOOKUP(C56,customers!$A$1:$A$1001,customers!$C$1:$C$1001,,0)))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4">
        <f>INDEX(products!$A$1:$G$49,MATCH(orders!$D56,products!$A$1:$A$49,0),MATCH(orders!L$1,products!$A$1:$G$1,0))</f>
        <v>14.55</v>
      </c>
      <c r="M56">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 " ",(_xlfn.XLOOKUP(C57,customers!$A$1:$A$1001,customers!$C$1:$C$1001,,0)))</f>
        <v xml:space="preserve">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4">
        <f>INDEX(products!$A$1:$G$49,MATCH(orders!$D57,products!$A$1:$A$49,0),MATCH(orders!L$1,products!$A$1:$G$1,0))</f>
        <v>15.85</v>
      </c>
      <c r="M57">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 " ",(_xlfn.XLOOKUP(C58,customers!$A$1:$A$1001,customers!$C$1:$C$1001,,0)))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4">
        <f>INDEX(products!$A$1:$G$49,MATCH(orders!$D58,products!$A$1:$A$49,0),MATCH(orders!L$1,products!$A$1:$G$1,0))</f>
        <v>3.645</v>
      </c>
      <c r="M58">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 " ",(_xlfn.XLOOKUP(C59,customers!$A$1:$A$1001,customers!$C$1:$C$1001,,0)))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4">
        <f>INDEX(products!$A$1:$G$49,MATCH(orders!$D59,products!$A$1:$A$49,0),MATCH(orders!L$1,products!$A$1:$G$1,0))</f>
        <v>14.85</v>
      </c>
      <c r="M59">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 " ",(_xlfn.XLOOKUP(C60,customers!$A$1:$A$1001,customers!$C$1:$C$1001,,0)))</f>
        <v xml:space="preserve">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4">
        <f>INDEX(products!$A$1:$G$49,MATCH(orders!$D60,products!$A$1:$A$49,0),MATCH(orders!L$1,products!$A$1:$G$1,0))</f>
        <v>29.784999999999997</v>
      </c>
      <c r="M60">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 " ",(_xlfn.XLOOKUP(C61,customers!$A$1:$A$1001,customers!$C$1:$C$1001,,0)))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4">
        <f>INDEX(products!$A$1:$G$49,MATCH(orders!$D61,products!$A$1:$A$49,0),MATCH(orders!L$1,products!$A$1:$G$1,0))</f>
        <v>8.73</v>
      </c>
      <c r="M61">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 " ",(_xlfn.XLOOKUP(C62,customers!$A$1:$A$1001,customers!$C$1:$C$1001,,0)))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4">
        <f>INDEX(products!$A$1:$G$49,MATCH(orders!$D62,products!$A$1:$A$49,0),MATCH(orders!L$1,products!$A$1:$G$1,0))</f>
        <v>22.884999999999998</v>
      </c>
      <c r="M62">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 " ",(_xlfn.XLOOKUP(C63,customers!$A$1:$A$1001,customers!$C$1:$C$1001,,0)))</f>
        <v xml:space="preserve">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4">
        <f>INDEX(products!$A$1:$G$49,MATCH(orders!$D63,products!$A$1:$A$49,0),MATCH(orders!L$1,products!$A$1:$G$1,0))</f>
        <v>5.3699999999999992</v>
      </c>
      <c r="M63">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 " ",(_xlfn.XLOOKUP(C64,customers!$A$1:$A$1001,customers!$C$1:$C$1001,,0)))</f>
        <v xml:space="preserve">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4">
        <f>INDEX(products!$A$1:$G$49,MATCH(orders!$D64,products!$A$1:$A$49,0),MATCH(orders!L$1,products!$A$1:$G$1,0))</f>
        <v>4.7549999999999999</v>
      </c>
      <c r="M64">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 " ",(_xlfn.XLOOKUP(C65,customers!$A$1:$A$1001,customers!$C$1:$C$1001,,0)))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4">
        <f>INDEX(products!$A$1:$G$49,MATCH(orders!$D65,products!$A$1:$A$49,0),MATCH(orders!L$1,products!$A$1:$G$1,0))</f>
        <v>6.75</v>
      </c>
      <c r="M6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 " ",(_xlfn.XLOOKUP(C66,customers!$A$1:$A$1001,customers!$C$1:$C$1001,,0)))</f>
        <v xml:space="preserve">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4">
        <f>INDEX(products!$A$1:$G$49,MATCH(orders!$D66,products!$A$1:$A$49,0),MATCH(orders!L$1,products!$A$1:$G$1,0))</f>
        <v>5.97</v>
      </c>
      <c r="M66">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 " ",(_xlfn.XLOOKUP(C67,customers!$A$1:$A$1001,customers!$C$1:$C$1001,,0)))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4">
        <f>INDEX(products!$A$1:$G$49,MATCH(orders!$D67,products!$A$1:$A$49,0),MATCH(orders!L$1,products!$A$1:$G$1,0))</f>
        <v>20.584999999999997</v>
      </c>
      <c r="M67">
        <f t="shared" ref="M67:M130" si="3">L67*E67</f>
        <v>82.339999999999989</v>
      </c>
      <c r="N67" t="str">
        <f t="shared" ref="N67:N130" si="4">IF(I67="Rob", "Robusta",IF(I67= "Exc","Excelsa",IF(I67="Ara","Arabica",IF(I67="Lib","Liberica"," "))))</f>
        <v>Robusta</v>
      </c>
      <c r="O67" t="str">
        <f t="shared" ref="O67:O130" si="5">IF(J67="M","Medium",IF(J67="L","Light", IF(J67= "D","Dark"," ")))</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 " ",(_xlfn.XLOOKUP(C68,customers!$A$1:$A$1001,customers!$C$1:$C$1001,,0)))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4">
        <f>INDEX(products!$A$1:$G$49,MATCH(orders!$D68,products!$A$1:$A$49,0),MATCH(orders!L$1,products!$A$1:$G$1,0))</f>
        <v>7.169999999999999</v>
      </c>
      <c r="M68">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 " ",(_xlfn.XLOOKUP(C69,customers!$A$1:$A$1001,customers!$C$1:$C$1001,,0)))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4">
        <f>INDEX(products!$A$1:$G$49,MATCH(orders!$D69,products!$A$1:$A$49,0),MATCH(orders!L$1,products!$A$1:$G$1,0))</f>
        <v>4.7549999999999999</v>
      </c>
      <c r="M69">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 " ",(_xlfn.XLOOKUP(C70,customers!$A$1:$A$1001,customers!$C$1:$C$1001,,0)))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4">
        <f>INDEX(products!$A$1:$G$49,MATCH(orders!$D70,products!$A$1:$A$49,0),MATCH(orders!L$1,products!$A$1:$G$1,0))</f>
        <v>2.9849999999999999</v>
      </c>
      <c r="M70">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 " ",(_xlfn.XLOOKUP(C71,customers!$A$1:$A$1001,customers!$C$1:$C$1001,,0)))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4">
        <f>INDEX(products!$A$1:$G$49,MATCH(orders!$D71,products!$A$1:$A$49,0),MATCH(orders!L$1,products!$A$1:$G$1,0))</f>
        <v>9.9499999999999993</v>
      </c>
      <c r="M71">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 " ",(_xlfn.XLOOKUP(C72,customers!$A$1:$A$1001,customers!$C$1:$C$1001,,0)))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4">
        <f>INDEX(products!$A$1:$G$49,MATCH(orders!$D72,products!$A$1:$A$49,0),MATCH(orders!L$1,products!$A$1:$G$1,0))</f>
        <v>34.154999999999994</v>
      </c>
      <c r="M72">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 " ",(_xlfn.XLOOKUP(C73,customers!$A$1:$A$1001,customers!$C$1:$C$1001,,0)))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4">
        <f>INDEX(products!$A$1:$G$49,MATCH(orders!$D73,products!$A$1:$A$49,0),MATCH(orders!L$1,products!$A$1:$G$1,0))</f>
        <v>4.7549999999999999</v>
      </c>
      <c r="M73">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 " ",(_xlfn.XLOOKUP(C74,customers!$A$1:$A$1001,customers!$C$1:$C$1001,,0)))</f>
        <v xml:space="preserve">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4">
        <f>INDEX(products!$A$1:$G$49,MATCH(orders!$D74,products!$A$1:$A$49,0),MATCH(orders!L$1,products!$A$1:$G$1,0))</f>
        <v>25.874999999999996</v>
      </c>
      <c r="M74">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 " ",(_xlfn.XLOOKUP(C75,customers!$A$1:$A$1001,customers!$C$1:$C$1001,,0)))</f>
        <v xml:space="preserve">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4">
        <f>INDEX(products!$A$1:$G$49,MATCH(orders!$D75,products!$A$1:$A$49,0),MATCH(orders!L$1,products!$A$1:$G$1,0))</f>
        <v>4.3650000000000002</v>
      </c>
      <c r="M7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 " ",(_xlfn.XLOOKUP(C76,customers!$A$1:$A$1001,customers!$C$1:$C$1001,,0)))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4">
        <f>INDEX(products!$A$1:$G$49,MATCH(orders!$D76,products!$A$1:$A$49,0),MATCH(orders!L$1,products!$A$1:$G$1,0))</f>
        <v>8.91</v>
      </c>
      <c r="M76">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 " ",(_xlfn.XLOOKUP(C77,customers!$A$1:$A$1001,customers!$C$1:$C$1001,,0)))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4">
        <f>INDEX(products!$A$1:$G$49,MATCH(orders!$D77,products!$A$1:$A$49,0),MATCH(orders!L$1,products!$A$1:$G$1,0))</f>
        <v>8.9499999999999993</v>
      </c>
      <c r="M77">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 " ",(_xlfn.XLOOKUP(C78,customers!$A$1:$A$1001,customers!$C$1:$C$1001,,0)))</f>
        <v xml:space="preserve">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4">
        <f>INDEX(products!$A$1:$G$49,MATCH(orders!$D78,products!$A$1:$A$49,0),MATCH(orders!L$1,products!$A$1:$G$1,0))</f>
        <v>3.5849999999999995</v>
      </c>
      <c r="M78">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 " ",(_xlfn.XLOOKUP(C79,customers!$A$1:$A$1001,customers!$C$1:$C$1001,,0)))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4">
        <f>INDEX(products!$A$1:$G$49,MATCH(orders!$D79,products!$A$1:$A$49,0),MATCH(orders!L$1,products!$A$1:$G$1,0))</f>
        <v>3.645</v>
      </c>
      <c r="M79">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 " ",(_xlfn.XLOOKUP(C80,customers!$A$1:$A$1001,customers!$C$1:$C$1001,,0)))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4">
        <f>INDEX(products!$A$1:$G$49,MATCH(orders!$D80,products!$A$1:$A$49,0),MATCH(orders!L$1,products!$A$1:$G$1,0))</f>
        <v>6.75</v>
      </c>
      <c r="M80">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 " ",(_xlfn.XLOOKUP(C81,customers!$A$1:$A$1001,customers!$C$1:$C$1001,,0)))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4">
        <f>INDEX(products!$A$1:$G$49,MATCH(orders!$D81,products!$A$1:$A$49,0),MATCH(orders!L$1,products!$A$1:$G$1,0))</f>
        <v>11.95</v>
      </c>
      <c r="M81">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 " ",(_xlfn.XLOOKUP(C82,customers!$A$1:$A$1001,customers!$C$1:$C$1001,,0)))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4">
        <f>INDEX(products!$A$1:$G$49,MATCH(orders!$D82,products!$A$1:$A$49,0),MATCH(orders!L$1,products!$A$1:$G$1,0))</f>
        <v>7.77</v>
      </c>
      <c r="M82">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 " ",(_xlfn.XLOOKUP(C83,customers!$A$1:$A$1001,customers!$C$1:$C$1001,,0)))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4">
        <f>INDEX(products!$A$1:$G$49,MATCH(orders!$D83,products!$A$1:$A$49,0),MATCH(orders!L$1,products!$A$1:$G$1,0))</f>
        <v>36.454999999999998</v>
      </c>
      <c r="M83">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 " ",(_xlfn.XLOOKUP(C84,customers!$A$1:$A$1001,customers!$C$1:$C$1001,,0)))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4">
        <f>INDEX(products!$A$1:$G$49,MATCH(orders!$D84,products!$A$1:$A$49,0),MATCH(orders!L$1,products!$A$1:$G$1,0))</f>
        <v>33.464999999999996</v>
      </c>
      <c r="M84">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 " ",(_xlfn.XLOOKUP(C85,customers!$A$1:$A$1001,customers!$C$1:$C$1001,,0)))</f>
        <v xml:space="preserve">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4">
        <f>INDEX(products!$A$1:$G$49,MATCH(orders!$D85,products!$A$1:$A$49,0),MATCH(orders!L$1,products!$A$1:$G$1,0))</f>
        <v>20.584999999999997</v>
      </c>
      <c r="M8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 " ",(_xlfn.XLOOKUP(C86,customers!$A$1:$A$1001,customers!$C$1:$C$1001,,0)))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4">
        <f>INDEX(products!$A$1:$G$49,MATCH(orders!$D86,products!$A$1:$A$49,0),MATCH(orders!L$1,products!$A$1:$G$1,0))</f>
        <v>9.51</v>
      </c>
      <c r="M86">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 " ",(_xlfn.XLOOKUP(C87,customers!$A$1:$A$1001,customers!$C$1:$C$1001,,0)))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4">
        <f>INDEX(products!$A$1:$G$49,MATCH(orders!$D87,products!$A$1:$A$49,0),MATCH(orders!L$1,products!$A$1:$G$1,0))</f>
        <v>29.784999999999997</v>
      </c>
      <c r="M87">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 " ",(_xlfn.XLOOKUP(C88,customers!$A$1:$A$1001,customers!$C$1:$C$1001,,0)))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4">
        <f>INDEX(products!$A$1:$G$49,MATCH(orders!$D88,products!$A$1:$A$49,0),MATCH(orders!L$1,products!$A$1:$G$1,0))</f>
        <v>2.9849999999999999</v>
      </c>
      <c r="M88">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 " ",(_xlfn.XLOOKUP(C89,customers!$A$1:$A$1001,customers!$C$1:$C$1001,,0)))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4">
        <f>INDEX(products!$A$1:$G$49,MATCH(orders!$D89,products!$A$1:$A$49,0),MATCH(orders!L$1,products!$A$1:$G$1,0))</f>
        <v>11.25</v>
      </c>
      <c r="M89">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 " ",(_xlfn.XLOOKUP(C90,customers!$A$1:$A$1001,customers!$C$1:$C$1001,,0)))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4">
        <f>INDEX(products!$A$1:$G$49,MATCH(orders!$D90,products!$A$1:$A$49,0),MATCH(orders!L$1,products!$A$1:$G$1,0))</f>
        <v>11.95</v>
      </c>
      <c r="M90">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 " ",(_xlfn.XLOOKUP(C91,customers!$A$1:$A$1001,customers!$C$1:$C$1001,,0)))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4">
        <f>INDEX(products!$A$1:$G$49,MATCH(orders!$D91,products!$A$1:$A$49,0),MATCH(orders!L$1,products!$A$1:$G$1,0))</f>
        <v>12.95</v>
      </c>
      <c r="M91">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 " ",(_xlfn.XLOOKUP(C92,customers!$A$1:$A$1001,customers!$C$1:$C$1001,,0)))</f>
        <v xml:space="preserve">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4">
        <f>INDEX(products!$A$1:$G$49,MATCH(orders!$D92,products!$A$1:$A$49,0),MATCH(orders!L$1,products!$A$1:$G$1,0))</f>
        <v>12.95</v>
      </c>
      <c r="M92">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 " ",(_xlfn.XLOOKUP(C93,customers!$A$1:$A$1001,customers!$C$1:$C$1001,,0)))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4">
        <f>INDEX(products!$A$1:$G$49,MATCH(orders!$D93,products!$A$1:$A$49,0),MATCH(orders!L$1,products!$A$1:$G$1,0))</f>
        <v>25.874999999999996</v>
      </c>
      <c r="M93">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 " ",(_xlfn.XLOOKUP(C94,customers!$A$1:$A$1001,customers!$C$1:$C$1001,,0)))</f>
        <v xml:space="preserve">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4">
        <f>INDEX(products!$A$1:$G$49,MATCH(orders!$D94,products!$A$1:$A$49,0),MATCH(orders!L$1,products!$A$1:$G$1,0))</f>
        <v>14.85</v>
      </c>
      <c r="M94">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 " ",(_xlfn.XLOOKUP(C95,customers!$A$1:$A$1001,customers!$C$1:$C$1001,,0)))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4">
        <f>INDEX(products!$A$1:$G$49,MATCH(orders!$D95,products!$A$1:$A$49,0),MATCH(orders!L$1,products!$A$1:$G$1,0))</f>
        <v>8.91</v>
      </c>
      <c r="M9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 " ",(_xlfn.XLOOKUP(C96,customers!$A$1:$A$1001,customers!$C$1:$C$1001,,0)))</f>
        <v xml:space="preserve">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4">
        <f>INDEX(products!$A$1:$G$49,MATCH(orders!$D96,products!$A$1:$A$49,0),MATCH(orders!L$1,products!$A$1:$G$1,0))</f>
        <v>2.9849999999999999</v>
      </c>
      <c r="M96">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 " ",(_xlfn.XLOOKUP(C97,customers!$A$1:$A$1001,customers!$C$1:$C$1001,,0)))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4">
        <f>INDEX(products!$A$1:$G$49,MATCH(orders!$D97,products!$A$1:$A$49,0),MATCH(orders!L$1,products!$A$1:$G$1,0))</f>
        <v>25.874999999999996</v>
      </c>
      <c r="M97">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 " ",(_xlfn.XLOOKUP(C98,customers!$A$1:$A$1001,customers!$C$1:$C$1001,,0)))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4">
        <f>INDEX(products!$A$1:$G$49,MATCH(orders!$D98,products!$A$1:$A$49,0),MATCH(orders!L$1,products!$A$1:$G$1,0))</f>
        <v>2.9849999999999999</v>
      </c>
      <c r="M98">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 " ",(_xlfn.XLOOKUP(C99,customers!$A$1:$A$1001,customers!$C$1:$C$1001,,0)))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4">
        <f>INDEX(products!$A$1:$G$49,MATCH(orders!$D99,products!$A$1:$A$49,0),MATCH(orders!L$1,products!$A$1:$G$1,0))</f>
        <v>6.75</v>
      </c>
      <c r="M99">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 " ",(_xlfn.XLOOKUP(C100,customers!$A$1:$A$1001,customers!$C$1:$C$1001,,0)))</f>
        <v xml:space="preserve">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4">
        <f>INDEX(products!$A$1:$G$49,MATCH(orders!$D100,products!$A$1:$A$49,0),MATCH(orders!L$1,products!$A$1:$G$1,0))</f>
        <v>2.9849999999999999</v>
      </c>
      <c r="M100">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 " ",(_xlfn.XLOOKUP(C101,customers!$A$1:$A$1001,customers!$C$1:$C$1001,,0)))</f>
        <v xml:space="preserve">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4">
        <f>INDEX(products!$A$1:$G$49,MATCH(orders!$D101,products!$A$1:$A$49,0),MATCH(orders!L$1,products!$A$1:$G$1,0))</f>
        <v>4.3650000000000002</v>
      </c>
      <c r="M101">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 " ",(_xlfn.XLOOKUP(C102,customers!$A$1:$A$1001,customers!$C$1:$C$1001,,0)))</f>
        <v xml:space="preserve">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4">
        <f>INDEX(products!$A$1:$G$49,MATCH(orders!$D102,products!$A$1:$A$49,0),MATCH(orders!L$1,products!$A$1:$G$1,0))</f>
        <v>3.8849999999999998</v>
      </c>
      <c r="M102">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 " ",(_xlfn.XLOOKUP(C103,customers!$A$1:$A$1001,customers!$C$1:$C$1001,,0)))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4">
        <f>INDEX(products!$A$1:$G$49,MATCH(orders!$D103,products!$A$1:$A$49,0),MATCH(orders!L$1,products!$A$1:$G$1,0))</f>
        <v>29.784999999999997</v>
      </c>
      <c r="M103">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 " ",(_xlfn.XLOOKUP(C104,customers!$A$1:$A$1001,customers!$C$1:$C$1001,,0)))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4">
        <f>INDEX(products!$A$1:$G$49,MATCH(orders!$D104,products!$A$1:$A$49,0),MATCH(orders!L$1,products!$A$1:$G$1,0))</f>
        <v>12.95</v>
      </c>
      <c r="M104">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 " ",(_xlfn.XLOOKUP(C105,customers!$A$1:$A$1001,customers!$C$1:$C$1001,,0)))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4">
        <f>INDEX(products!$A$1:$G$49,MATCH(orders!$D105,products!$A$1:$A$49,0),MATCH(orders!L$1,products!$A$1:$G$1,0))</f>
        <v>2.9849999999999999</v>
      </c>
      <c r="M10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 " ",(_xlfn.XLOOKUP(C106,customers!$A$1:$A$1001,customers!$C$1:$C$1001,,0)))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4">
        <f>INDEX(products!$A$1:$G$49,MATCH(orders!$D106,products!$A$1:$A$49,0),MATCH(orders!L$1,products!$A$1:$G$1,0))</f>
        <v>14.55</v>
      </c>
      <c r="M106">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 " ",(_xlfn.XLOOKUP(C107,customers!$A$1:$A$1001,customers!$C$1:$C$1001,,0)))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4">
        <f>INDEX(products!$A$1:$G$49,MATCH(orders!$D107,products!$A$1:$A$49,0),MATCH(orders!L$1,products!$A$1:$G$1,0))</f>
        <v>6.75</v>
      </c>
      <c r="M107">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 " ",(_xlfn.XLOOKUP(C108,customers!$A$1:$A$1001,customers!$C$1:$C$1001,,0)))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4">
        <f>INDEX(products!$A$1:$G$49,MATCH(orders!$D108,products!$A$1:$A$49,0),MATCH(orders!L$1,products!$A$1:$G$1,0))</f>
        <v>12.15</v>
      </c>
      <c r="M108">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 " ",(_xlfn.XLOOKUP(C109,customers!$A$1:$A$1001,customers!$C$1:$C$1001,,0)))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4">
        <f>INDEX(products!$A$1:$G$49,MATCH(orders!$D109,products!$A$1:$A$49,0),MATCH(orders!L$1,products!$A$1:$G$1,0))</f>
        <v>5.97</v>
      </c>
      <c r="M109">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 " ",(_xlfn.XLOOKUP(C110,customers!$A$1:$A$1001,customers!$C$1:$C$1001,,0)))</f>
        <v xml:space="preserve">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4">
        <f>INDEX(products!$A$1:$G$49,MATCH(orders!$D110,products!$A$1:$A$49,0),MATCH(orders!L$1,products!$A$1:$G$1,0))</f>
        <v>6.75</v>
      </c>
      <c r="M110">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 " ",(_xlfn.XLOOKUP(C111,customers!$A$1:$A$1001,customers!$C$1:$C$1001,,0)))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4">
        <f>INDEX(products!$A$1:$G$49,MATCH(orders!$D111,products!$A$1:$A$49,0),MATCH(orders!L$1,products!$A$1:$G$1,0))</f>
        <v>7.77</v>
      </c>
      <c r="M111">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 " ",(_xlfn.XLOOKUP(C112,customers!$A$1:$A$1001,customers!$C$1:$C$1001,,0)))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4">
        <f>INDEX(products!$A$1:$G$49,MATCH(orders!$D112,products!$A$1:$A$49,0),MATCH(orders!L$1,products!$A$1:$G$1,0))</f>
        <v>4.4550000000000001</v>
      </c>
      <c r="M112">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 " ",(_xlfn.XLOOKUP(C113,customers!$A$1:$A$1001,customers!$C$1:$C$1001,,0)))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4">
        <f>INDEX(products!$A$1:$G$49,MATCH(orders!$D113,products!$A$1:$A$49,0),MATCH(orders!L$1,products!$A$1:$G$1,0))</f>
        <v>5.3699999999999992</v>
      </c>
      <c r="M113">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 " ",(_xlfn.XLOOKUP(C114,customers!$A$1:$A$1001,customers!$C$1:$C$1001,,0)))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4">
        <f>INDEX(products!$A$1:$G$49,MATCH(orders!$D114,products!$A$1:$A$49,0),MATCH(orders!L$1,products!$A$1:$G$1,0))</f>
        <v>11.25</v>
      </c>
      <c r="M114">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 " ",(_xlfn.XLOOKUP(C115,customers!$A$1:$A$1001,customers!$C$1:$C$1001,,0)))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4">
        <f>INDEX(products!$A$1:$G$49,MATCH(orders!$D115,products!$A$1:$A$49,0),MATCH(orders!L$1,products!$A$1:$G$1,0))</f>
        <v>14.55</v>
      </c>
      <c r="M11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 " ",(_xlfn.XLOOKUP(C116,customers!$A$1:$A$1001,customers!$C$1:$C$1001,,0)))</f>
        <v xml:space="preserve">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4">
        <f>INDEX(products!$A$1:$G$49,MATCH(orders!$D116,products!$A$1:$A$49,0),MATCH(orders!L$1,products!$A$1:$G$1,0))</f>
        <v>3.5849999999999995</v>
      </c>
      <c r="M116">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 " ",(_xlfn.XLOOKUP(C117,customers!$A$1:$A$1001,customers!$C$1:$C$1001,,0)))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4">
        <f>INDEX(products!$A$1:$G$49,MATCH(orders!$D117,products!$A$1:$A$49,0),MATCH(orders!L$1,products!$A$1:$G$1,0))</f>
        <v>15.85</v>
      </c>
      <c r="M117">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 " ",(_xlfn.XLOOKUP(C118,customers!$A$1:$A$1001,customers!$C$1:$C$1001,,0)))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4">
        <f>INDEX(products!$A$1:$G$49,MATCH(orders!$D118,products!$A$1:$A$49,0),MATCH(orders!L$1,products!$A$1:$G$1,0))</f>
        <v>4.7549999999999999</v>
      </c>
      <c r="M118">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 " ",(_xlfn.XLOOKUP(C119,customers!$A$1:$A$1001,customers!$C$1:$C$1001,,0)))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4">
        <f>INDEX(products!$A$1:$G$49,MATCH(orders!$D119,products!$A$1:$A$49,0),MATCH(orders!L$1,products!$A$1:$G$1,0))</f>
        <v>9.51</v>
      </c>
      <c r="M119">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 " ",(_xlfn.XLOOKUP(C120,customers!$A$1:$A$1001,customers!$C$1:$C$1001,,0)))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4">
        <f>INDEX(products!$A$1:$G$49,MATCH(orders!$D120,products!$A$1:$A$49,0),MATCH(orders!L$1,products!$A$1:$G$1,0))</f>
        <v>7.29</v>
      </c>
      <c r="M120">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 " ",(_xlfn.XLOOKUP(C121,customers!$A$1:$A$1001,customers!$C$1:$C$1001,,0)))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4">
        <f>INDEX(products!$A$1:$G$49,MATCH(orders!$D121,products!$A$1:$A$49,0),MATCH(orders!L$1,products!$A$1:$G$1,0))</f>
        <v>4.125</v>
      </c>
      <c r="M121">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 " ",(_xlfn.XLOOKUP(C122,customers!$A$1:$A$1001,customers!$C$1:$C$1001,,0)))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4">
        <f>INDEX(products!$A$1:$G$49,MATCH(orders!$D122,products!$A$1:$A$49,0),MATCH(orders!L$1,products!$A$1:$G$1,0))</f>
        <v>3.8849999999999998</v>
      </c>
      <c r="M122">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 " ",(_xlfn.XLOOKUP(C123,customers!$A$1:$A$1001,customers!$C$1:$C$1001,,0)))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4">
        <f>INDEX(products!$A$1:$G$49,MATCH(orders!$D123,products!$A$1:$A$49,0),MATCH(orders!L$1,products!$A$1:$G$1,0))</f>
        <v>13.75</v>
      </c>
      <c r="M123">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 " ",(_xlfn.XLOOKUP(C124,customers!$A$1:$A$1001,customers!$C$1:$C$1001,,0)))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4">
        <f>INDEX(products!$A$1:$G$49,MATCH(orders!$D124,products!$A$1:$A$49,0),MATCH(orders!L$1,products!$A$1:$G$1,0))</f>
        <v>5.97</v>
      </c>
      <c r="M124">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 " ",(_xlfn.XLOOKUP(C125,customers!$A$1:$A$1001,customers!$C$1:$C$1001,,0)))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4">
        <f>INDEX(products!$A$1:$G$49,MATCH(orders!$D125,products!$A$1:$A$49,0),MATCH(orders!L$1,products!$A$1:$G$1,0))</f>
        <v>36.454999999999998</v>
      </c>
      <c r="M12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 " ",(_xlfn.XLOOKUP(C126,customers!$A$1:$A$1001,customers!$C$1:$C$1001,,0)))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4">
        <f>INDEX(products!$A$1:$G$49,MATCH(orders!$D126,products!$A$1:$A$49,0),MATCH(orders!L$1,products!$A$1:$G$1,0))</f>
        <v>4.3650000000000002</v>
      </c>
      <c r="M126">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 " ",(_xlfn.XLOOKUP(C127,customers!$A$1:$A$1001,customers!$C$1:$C$1001,,0)))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4">
        <f>INDEX(products!$A$1:$G$49,MATCH(orders!$D127,products!$A$1:$A$49,0),MATCH(orders!L$1,products!$A$1:$G$1,0))</f>
        <v>8.73</v>
      </c>
      <c r="M127">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 " ",(_xlfn.XLOOKUP(C128,customers!$A$1:$A$1001,customers!$C$1:$C$1001,,0)))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4">
        <f>INDEX(products!$A$1:$G$49,MATCH(orders!$D128,products!$A$1:$A$49,0),MATCH(orders!L$1,products!$A$1:$G$1,0))</f>
        <v>11.25</v>
      </c>
      <c r="M128">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 " ",(_xlfn.XLOOKUP(C129,customers!$A$1:$A$1001,customers!$C$1:$C$1001,,0)))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4">
        <f>INDEX(products!$A$1:$G$49,MATCH(orders!$D129,products!$A$1:$A$49,0),MATCH(orders!L$1,products!$A$1:$G$1,0))</f>
        <v>12.95</v>
      </c>
      <c r="M129">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 " ",(_xlfn.XLOOKUP(C130,customers!$A$1:$A$1001,customers!$C$1:$C$1001,,0)))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4">
        <f>INDEX(products!$A$1:$G$49,MATCH(orders!$D130,products!$A$1:$A$49,0),MATCH(orders!L$1,products!$A$1:$G$1,0))</f>
        <v>6.75</v>
      </c>
      <c r="M130">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 " ",(_xlfn.XLOOKUP(C131,customers!$A$1:$A$1001,customers!$C$1:$C$1001,,0)))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4">
        <f>INDEX(products!$A$1:$G$49,MATCH(orders!$D131,products!$A$1:$A$49,0),MATCH(orders!L$1,products!$A$1:$G$1,0))</f>
        <v>12.15</v>
      </c>
      <c r="M131">
        <f t="shared" ref="M131:M194" si="6">L131*E131</f>
        <v>12.15</v>
      </c>
      <c r="N131" t="str">
        <f t="shared" ref="N131:N194" si="7">IF(I131="Rob", "Robusta",IF(I131= "Exc","Excelsa",IF(I131="Ara","Arabica",IF(I131="Lib","Liberica"," "))))</f>
        <v>Excelsa</v>
      </c>
      <c r="O131" t="str">
        <f t="shared" ref="O131:O194" si="8">IF(J131="M","Medium",IF(J131="L","Light", IF(J131= "D","Dark"," ")))</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 " ",(_xlfn.XLOOKUP(C132,customers!$A$1:$A$1001,customers!$C$1:$C$1001,,0)))</f>
        <v xml:space="preserve">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4">
        <f>INDEX(products!$A$1:$G$49,MATCH(orders!$D132,products!$A$1:$A$49,0),MATCH(orders!L$1,products!$A$1:$G$1,0))</f>
        <v>29.784999999999997</v>
      </c>
      <c r="M132">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 " ",(_xlfn.XLOOKUP(C133,customers!$A$1:$A$1001,customers!$C$1:$C$1001,,0)))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4">
        <f>INDEX(products!$A$1:$G$49,MATCH(orders!$D133,products!$A$1:$A$49,0),MATCH(orders!L$1,products!$A$1:$G$1,0))</f>
        <v>7.29</v>
      </c>
      <c r="M133">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 " ",(_xlfn.XLOOKUP(C134,customers!$A$1:$A$1001,customers!$C$1:$C$1001,,0)))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4">
        <f>INDEX(products!$A$1:$G$49,MATCH(orders!$D134,products!$A$1:$A$49,0),MATCH(orders!L$1,products!$A$1:$G$1,0))</f>
        <v>29.784999999999997</v>
      </c>
      <c r="M134">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 " ",(_xlfn.XLOOKUP(C135,customers!$A$1:$A$1001,customers!$C$1:$C$1001,,0)))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4">
        <f>INDEX(products!$A$1:$G$49,MATCH(orders!$D135,products!$A$1:$A$49,0),MATCH(orders!L$1,products!$A$1:$G$1,0))</f>
        <v>12.95</v>
      </c>
      <c r="M13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 " ",(_xlfn.XLOOKUP(C136,customers!$A$1:$A$1001,customers!$C$1:$C$1001,,0)))</f>
        <v xml:space="preserve">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4">
        <f>INDEX(products!$A$1:$G$49,MATCH(orders!$D136,products!$A$1:$A$49,0),MATCH(orders!L$1,products!$A$1:$G$1,0))</f>
        <v>31.624999999999996</v>
      </c>
      <c r="M136">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 " ",(_xlfn.XLOOKUP(C137,customers!$A$1:$A$1001,customers!$C$1:$C$1001,,0)))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4">
        <f>INDEX(products!$A$1:$G$49,MATCH(orders!$D137,products!$A$1:$A$49,0),MATCH(orders!L$1,products!$A$1:$G$1,0))</f>
        <v>7.77</v>
      </c>
      <c r="M137">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 " ",(_xlfn.XLOOKUP(C138,customers!$A$1:$A$1001,customers!$C$1:$C$1001,,0)))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4">
        <f>INDEX(products!$A$1:$G$49,MATCH(orders!$D138,products!$A$1:$A$49,0),MATCH(orders!L$1,products!$A$1:$G$1,0))</f>
        <v>2.9849999999999999</v>
      </c>
      <c r="M138">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 " ",(_xlfn.XLOOKUP(C139,customers!$A$1:$A$1001,customers!$C$1:$C$1001,,0)))</f>
        <v xml:space="preserve">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4">
        <f>INDEX(products!$A$1:$G$49,MATCH(orders!$D139,products!$A$1:$A$49,0),MATCH(orders!L$1,products!$A$1:$G$1,0))</f>
        <v>34.154999999999994</v>
      </c>
      <c r="M139">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 " ",(_xlfn.XLOOKUP(C140,customers!$A$1:$A$1001,customers!$C$1:$C$1001,,0)))</f>
        <v xml:space="preserve">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4">
        <f>INDEX(products!$A$1:$G$49,MATCH(orders!$D140,products!$A$1:$A$49,0),MATCH(orders!L$1,products!$A$1:$G$1,0))</f>
        <v>12.15</v>
      </c>
      <c r="M140">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 " ",(_xlfn.XLOOKUP(C141,customers!$A$1:$A$1001,customers!$C$1:$C$1001,,0)))</f>
        <v xml:space="preserve">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4">
        <f>INDEX(products!$A$1:$G$49,MATCH(orders!$D141,products!$A$1:$A$49,0),MATCH(orders!L$1,products!$A$1:$G$1,0))</f>
        <v>12.95</v>
      </c>
      <c r="M141">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 " ",(_xlfn.XLOOKUP(C142,customers!$A$1:$A$1001,customers!$C$1:$C$1001,,0)))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4">
        <f>INDEX(products!$A$1:$G$49,MATCH(orders!$D142,products!$A$1:$A$49,0),MATCH(orders!L$1,products!$A$1:$G$1,0))</f>
        <v>29.784999999999997</v>
      </c>
      <c r="M142">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 " ",(_xlfn.XLOOKUP(C143,customers!$A$1:$A$1001,customers!$C$1:$C$1001,,0)))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4">
        <f>INDEX(products!$A$1:$G$49,MATCH(orders!$D143,products!$A$1:$A$49,0),MATCH(orders!L$1,products!$A$1:$G$1,0))</f>
        <v>3.8849999999999998</v>
      </c>
      <c r="M143">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 " ",(_xlfn.XLOOKUP(C144,customers!$A$1:$A$1001,customers!$C$1:$C$1001,,0)))</f>
        <v xml:space="preserve">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4">
        <f>INDEX(products!$A$1:$G$49,MATCH(orders!$D144,products!$A$1:$A$49,0),MATCH(orders!L$1,products!$A$1:$G$1,0))</f>
        <v>34.154999999999994</v>
      </c>
      <c r="M144">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 " ",(_xlfn.XLOOKUP(C145,customers!$A$1:$A$1001,customers!$C$1:$C$1001,,0)))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4">
        <f>INDEX(products!$A$1:$G$49,MATCH(orders!$D145,products!$A$1:$A$49,0),MATCH(orders!L$1,products!$A$1:$G$1,0))</f>
        <v>8.73</v>
      </c>
      <c r="M14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 " ",(_xlfn.XLOOKUP(C146,customers!$A$1:$A$1001,customers!$C$1:$C$1001,,0)))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4">
        <f>INDEX(products!$A$1:$G$49,MATCH(orders!$D146,products!$A$1:$A$49,0),MATCH(orders!L$1,products!$A$1:$G$1,0))</f>
        <v>34.154999999999994</v>
      </c>
      <c r="M146">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 " ",(_xlfn.XLOOKUP(C147,customers!$A$1:$A$1001,customers!$C$1:$C$1001,,0)))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4">
        <f>INDEX(products!$A$1:$G$49,MATCH(orders!$D147,products!$A$1:$A$49,0),MATCH(orders!L$1,products!$A$1:$G$1,0))</f>
        <v>4.3650000000000002</v>
      </c>
      <c r="M147">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 " ",(_xlfn.XLOOKUP(C148,customers!$A$1:$A$1001,customers!$C$1:$C$1001,,0)))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4">
        <f>INDEX(products!$A$1:$G$49,MATCH(orders!$D148,products!$A$1:$A$49,0),MATCH(orders!L$1,products!$A$1:$G$1,0))</f>
        <v>14.55</v>
      </c>
      <c r="M148">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 " ",(_xlfn.XLOOKUP(C149,customers!$A$1:$A$1001,customers!$C$1:$C$1001,,0)))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4">
        <f>INDEX(products!$A$1:$G$49,MATCH(orders!$D149,products!$A$1:$A$49,0),MATCH(orders!L$1,products!$A$1:$G$1,0))</f>
        <v>13.75</v>
      </c>
      <c r="M149">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 " ",(_xlfn.XLOOKUP(C150,customers!$A$1:$A$1001,customers!$C$1:$C$1001,,0)))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4">
        <f>INDEX(products!$A$1:$G$49,MATCH(orders!$D150,products!$A$1:$A$49,0),MATCH(orders!L$1,products!$A$1:$G$1,0))</f>
        <v>3.645</v>
      </c>
      <c r="M150">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 " ",(_xlfn.XLOOKUP(C151,customers!$A$1:$A$1001,customers!$C$1:$C$1001,,0)))</f>
        <v xml:space="preserve">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4">
        <f>INDEX(products!$A$1:$G$49,MATCH(orders!$D151,products!$A$1:$A$49,0),MATCH(orders!L$1,products!$A$1:$G$1,0))</f>
        <v>25.874999999999996</v>
      </c>
      <c r="M151">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 " ",(_xlfn.XLOOKUP(C152,customers!$A$1:$A$1001,customers!$C$1:$C$1001,,0)))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4">
        <f>INDEX(products!$A$1:$G$49,MATCH(orders!$D152,products!$A$1:$A$49,0),MATCH(orders!L$1,products!$A$1:$G$1,0))</f>
        <v>12.95</v>
      </c>
      <c r="M152">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 " ",(_xlfn.XLOOKUP(C153,customers!$A$1:$A$1001,customers!$C$1:$C$1001,,0)))</f>
        <v xml:space="preserve">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4">
        <f>INDEX(products!$A$1:$G$49,MATCH(orders!$D153,products!$A$1:$A$49,0),MATCH(orders!L$1,products!$A$1:$G$1,0))</f>
        <v>11.25</v>
      </c>
      <c r="M153">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 " ",(_xlfn.XLOOKUP(C154,customers!$A$1:$A$1001,customers!$C$1:$C$1001,,0)))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4">
        <f>INDEX(products!$A$1:$G$49,MATCH(orders!$D154,products!$A$1:$A$49,0),MATCH(orders!L$1,products!$A$1:$G$1,0))</f>
        <v>22.884999999999998</v>
      </c>
      <c r="M154">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 " ",(_xlfn.XLOOKUP(C155,customers!$A$1:$A$1001,customers!$C$1:$C$1001,,0)))</f>
        <v xml:space="preserve">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4">
        <f>INDEX(products!$A$1:$G$49,MATCH(orders!$D155,products!$A$1:$A$49,0),MATCH(orders!L$1,products!$A$1:$G$1,0))</f>
        <v>2.6849999999999996</v>
      </c>
      <c r="M15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 " ",(_xlfn.XLOOKUP(C156,customers!$A$1:$A$1001,customers!$C$1:$C$1001,,0)))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4">
        <f>INDEX(products!$A$1:$G$49,MATCH(orders!$D156,products!$A$1:$A$49,0),MATCH(orders!L$1,products!$A$1:$G$1,0))</f>
        <v>22.884999999999998</v>
      </c>
      <c r="M156">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 " ",(_xlfn.XLOOKUP(C157,customers!$A$1:$A$1001,customers!$C$1:$C$1001,,0)))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4">
        <f>INDEX(products!$A$1:$G$49,MATCH(orders!$D157,products!$A$1:$A$49,0),MATCH(orders!L$1,products!$A$1:$G$1,0))</f>
        <v>25.874999999999996</v>
      </c>
      <c r="M157">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 " ",(_xlfn.XLOOKUP(C158,customers!$A$1:$A$1001,customers!$C$1:$C$1001,,0)))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4">
        <f>INDEX(products!$A$1:$G$49,MATCH(orders!$D158,products!$A$1:$A$49,0),MATCH(orders!L$1,products!$A$1:$G$1,0))</f>
        <v>25.874999999999996</v>
      </c>
      <c r="M158">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 " ",(_xlfn.XLOOKUP(C159,customers!$A$1:$A$1001,customers!$C$1:$C$1001,,0)))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4">
        <f>INDEX(products!$A$1:$G$49,MATCH(orders!$D159,products!$A$1:$A$49,0),MATCH(orders!L$1,products!$A$1:$G$1,0))</f>
        <v>20.584999999999997</v>
      </c>
      <c r="M159">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 " ",(_xlfn.XLOOKUP(C160,customers!$A$1:$A$1001,customers!$C$1:$C$1001,,0)))</f>
        <v xml:space="preserve">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4">
        <f>INDEX(products!$A$1:$G$49,MATCH(orders!$D160,products!$A$1:$A$49,0),MATCH(orders!L$1,products!$A$1:$G$1,0))</f>
        <v>20.584999999999997</v>
      </c>
      <c r="M160">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 " ",(_xlfn.XLOOKUP(C161,customers!$A$1:$A$1001,customers!$C$1:$C$1001,,0)))</f>
        <v xml:space="preserve">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4">
        <f>INDEX(products!$A$1:$G$49,MATCH(orders!$D161,products!$A$1:$A$49,0),MATCH(orders!L$1,products!$A$1:$G$1,0))</f>
        <v>36.454999999999998</v>
      </c>
      <c r="M161">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 " ",(_xlfn.XLOOKUP(C162,customers!$A$1:$A$1001,customers!$C$1:$C$1001,,0)))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4">
        <f>INDEX(products!$A$1:$G$49,MATCH(orders!$D162,products!$A$1:$A$49,0),MATCH(orders!L$1,products!$A$1:$G$1,0))</f>
        <v>8.25</v>
      </c>
      <c r="M162">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 " ",(_xlfn.XLOOKUP(C163,customers!$A$1:$A$1001,customers!$C$1:$C$1001,,0)))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4">
        <f>INDEX(products!$A$1:$G$49,MATCH(orders!$D163,products!$A$1:$A$49,0),MATCH(orders!L$1,products!$A$1:$G$1,0))</f>
        <v>7.77</v>
      </c>
      <c r="M163">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 " ",(_xlfn.XLOOKUP(C164,customers!$A$1:$A$1001,customers!$C$1:$C$1001,,0)))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4">
        <f>INDEX(products!$A$1:$G$49,MATCH(orders!$D164,products!$A$1:$A$49,0),MATCH(orders!L$1,products!$A$1:$G$1,0))</f>
        <v>7.29</v>
      </c>
      <c r="M164">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 " ",(_xlfn.XLOOKUP(C165,customers!$A$1:$A$1001,customers!$C$1:$C$1001,,0)))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4">
        <f>INDEX(products!$A$1:$G$49,MATCH(orders!$D165,products!$A$1:$A$49,0),MATCH(orders!L$1,products!$A$1:$G$1,0))</f>
        <v>2.6849999999999996</v>
      </c>
      <c r="M16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 " ",(_xlfn.XLOOKUP(C166,customers!$A$1:$A$1001,customers!$C$1:$C$1001,,0)))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4">
        <f>INDEX(products!$A$1:$G$49,MATCH(orders!$D166,products!$A$1:$A$49,0),MATCH(orders!L$1,products!$A$1:$G$1,0))</f>
        <v>7.29</v>
      </c>
      <c r="M166">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 " ",(_xlfn.XLOOKUP(C167,customers!$A$1:$A$1001,customers!$C$1:$C$1001,,0)))</f>
        <v xml:space="preserve">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4">
        <f>INDEX(products!$A$1:$G$49,MATCH(orders!$D167,products!$A$1:$A$49,0),MATCH(orders!L$1,products!$A$1:$G$1,0))</f>
        <v>8.9499999999999993</v>
      </c>
      <c r="M167">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 " ",(_xlfn.XLOOKUP(C168,customers!$A$1:$A$1001,customers!$C$1:$C$1001,,0)))</f>
        <v xml:space="preserve">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4">
        <f>INDEX(products!$A$1:$G$49,MATCH(orders!$D168,products!$A$1:$A$49,0),MATCH(orders!L$1,products!$A$1:$G$1,0))</f>
        <v>5.3699999999999992</v>
      </c>
      <c r="M168">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 " ",(_xlfn.XLOOKUP(C169,customers!$A$1:$A$1001,customers!$C$1:$C$1001,,0)))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4">
        <f>INDEX(products!$A$1:$G$49,MATCH(orders!$D169,products!$A$1:$A$49,0),MATCH(orders!L$1,products!$A$1:$G$1,0))</f>
        <v>8.25</v>
      </c>
      <c r="M169">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 " ",(_xlfn.XLOOKUP(C170,customers!$A$1:$A$1001,customers!$C$1:$C$1001,,0)))</f>
        <v xml:space="preserve">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4">
        <f>INDEX(products!$A$1:$G$49,MATCH(orders!$D170,products!$A$1:$A$49,0),MATCH(orders!L$1,products!$A$1:$G$1,0))</f>
        <v>6.75</v>
      </c>
      <c r="M170">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 " ",(_xlfn.XLOOKUP(C171,customers!$A$1:$A$1001,customers!$C$1:$C$1001,,0)))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4">
        <f>INDEX(products!$A$1:$G$49,MATCH(orders!$D171,products!$A$1:$A$49,0),MATCH(orders!L$1,products!$A$1:$G$1,0))</f>
        <v>8.9499999999999993</v>
      </c>
      <c r="M171">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 " ",(_xlfn.XLOOKUP(C172,customers!$A$1:$A$1001,customers!$C$1:$C$1001,,0)))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4">
        <f>INDEX(products!$A$1:$G$49,MATCH(orders!$D172,products!$A$1:$A$49,0),MATCH(orders!L$1,products!$A$1:$G$1,0))</f>
        <v>34.154999999999994</v>
      </c>
      <c r="M172">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 " ",(_xlfn.XLOOKUP(C173,customers!$A$1:$A$1001,customers!$C$1:$C$1001,,0)))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4">
        <f>INDEX(products!$A$1:$G$49,MATCH(orders!$D173,products!$A$1:$A$49,0),MATCH(orders!L$1,products!$A$1:$G$1,0))</f>
        <v>31.624999999999996</v>
      </c>
      <c r="M173">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 " ",(_xlfn.XLOOKUP(C174,customers!$A$1:$A$1001,customers!$C$1:$C$1001,,0)))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4">
        <f>INDEX(products!$A$1:$G$49,MATCH(orders!$D174,products!$A$1:$A$49,0),MATCH(orders!L$1,products!$A$1:$G$1,0))</f>
        <v>7.29</v>
      </c>
      <c r="M174">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 " ",(_xlfn.XLOOKUP(C175,customers!$A$1:$A$1001,customers!$C$1:$C$1001,,0)))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4">
        <f>INDEX(products!$A$1:$G$49,MATCH(orders!$D175,products!$A$1:$A$49,0),MATCH(orders!L$1,products!$A$1:$G$1,0))</f>
        <v>22.884999999999998</v>
      </c>
      <c r="M17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 " ",(_xlfn.XLOOKUP(C176,customers!$A$1:$A$1001,customers!$C$1:$C$1001,,0)))</f>
        <v xml:space="preserve">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4">
        <f>INDEX(products!$A$1:$G$49,MATCH(orders!$D176,products!$A$1:$A$49,0),MATCH(orders!L$1,products!$A$1:$G$1,0))</f>
        <v>34.154999999999994</v>
      </c>
      <c r="M176">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 " ",(_xlfn.XLOOKUP(C177,customers!$A$1:$A$1001,customers!$C$1:$C$1001,,0)))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4">
        <f>INDEX(products!$A$1:$G$49,MATCH(orders!$D177,products!$A$1:$A$49,0),MATCH(orders!L$1,products!$A$1:$G$1,0))</f>
        <v>31.624999999999996</v>
      </c>
      <c r="M177">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 " ",(_xlfn.XLOOKUP(C178,customers!$A$1:$A$1001,customers!$C$1:$C$1001,,0)))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4">
        <f>INDEX(products!$A$1:$G$49,MATCH(orders!$D178,products!$A$1:$A$49,0),MATCH(orders!L$1,products!$A$1:$G$1,0))</f>
        <v>34.154999999999994</v>
      </c>
      <c r="M178">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 " ",(_xlfn.XLOOKUP(C179,customers!$A$1:$A$1001,customers!$C$1:$C$1001,,0)))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4">
        <f>INDEX(products!$A$1:$G$49,MATCH(orders!$D179,products!$A$1:$A$49,0),MATCH(orders!L$1,products!$A$1:$G$1,0))</f>
        <v>27.484999999999996</v>
      </c>
      <c r="M179">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 " ",(_xlfn.XLOOKUP(C180,customers!$A$1:$A$1001,customers!$C$1:$C$1001,,0)))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4">
        <f>INDEX(products!$A$1:$G$49,MATCH(orders!$D180,products!$A$1:$A$49,0),MATCH(orders!L$1,products!$A$1:$G$1,0))</f>
        <v>12.95</v>
      </c>
      <c r="M180">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 " ",(_xlfn.XLOOKUP(C181,customers!$A$1:$A$1001,customers!$C$1:$C$1001,,0)))</f>
        <v xml:space="preserve">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4">
        <f>INDEX(products!$A$1:$G$49,MATCH(orders!$D181,products!$A$1:$A$49,0),MATCH(orders!L$1,products!$A$1:$G$1,0))</f>
        <v>2.9849999999999999</v>
      </c>
      <c r="M181">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 " ",(_xlfn.XLOOKUP(C182,customers!$A$1:$A$1001,customers!$C$1:$C$1001,,0)))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4">
        <f>INDEX(products!$A$1:$G$49,MATCH(orders!$D182,products!$A$1:$A$49,0),MATCH(orders!L$1,products!$A$1:$G$1,0))</f>
        <v>4.4550000000000001</v>
      </c>
      <c r="M182">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 " ",(_xlfn.XLOOKUP(C183,customers!$A$1:$A$1001,customers!$C$1:$C$1001,,0)))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4">
        <f>INDEX(products!$A$1:$G$49,MATCH(orders!$D183,products!$A$1:$A$49,0),MATCH(orders!L$1,products!$A$1:$G$1,0))</f>
        <v>5.97</v>
      </c>
      <c r="M183">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 " ",(_xlfn.XLOOKUP(C184,customers!$A$1:$A$1001,customers!$C$1:$C$1001,,0)))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4">
        <f>INDEX(products!$A$1:$G$49,MATCH(orders!$D184,products!$A$1:$A$49,0),MATCH(orders!L$1,products!$A$1:$G$1,0))</f>
        <v>5.3699999999999992</v>
      </c>
      <c r="M184">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 " ",(_xlfn.XLOOKUP(C185,customers!$A$1:$A$1001,customers!$C$1:$C$1001,,0)))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4">
        <f>INDEX(products!$A$1:$G$49,MATCH(orders!$D185,products!$A$1:$A$49,0),MATCH(orders!L$1,products!$A$1:$G$1,0))</f>
        <v>4.125</v>
      </c>
      <c r="M18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 " ",(_xlfn.XLOOKUP(C186,customers!$A$1:$A$1001,customers!$C$1:$C$1001,,0)))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4">
        <f>INDEX(products!$A$1:$G$49,MATCH(orders!$D186,products!$A$1:$A$49,0),MATCH(orders!L$1,products!$A$1:$G$1,0))</f>
        <v>7.77</v>
      </c>
      <c r="M186">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 " ",(_xlfn.XLOOKUP(C187,customers!$A$1:$A$1001,customers!$C$1:$C$1001,,0)))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4">
        <f>INDEX(products!$A$1:$G$49,MATCH(orders!$D187,products!$A$1:$A$49,0),MATCH(orders!L$1,products!$A$1:$G$1,0))</f>
        <v>7.29</v>
      </c>
      <c r="M187">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 " ",(_xlfn.XLOOKUP(C188,customers!$A$1:$A$1001,customers!$C$1:$C$1001,,0)))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4">
        <f>INDEX(products!$A$1:$G$49,MATCH(orders!$D188,products!$A$1:$A$49,0),MATCH(orders!L$1,products!$A$1:$G$1,0))</f>
        <v>22.884999999999998</v>
      </c>
      <c r="M188">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 " ",(_xlfn.XLOOKUP(C189,customers!$A$1:$A$1001,customers!$C$1:$C$1001,,0)))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4">
        <f>INDEX(products!$A$1:$G$49,MATCH(orders!$D189,products!$A$1:$A$49,0),MATCH(orders!L$1,products!$A$1:$G$1,0))</f>
        <v>8.73</v>
      </c>
      <c r="M189">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 " ",(_xlfn.XLOOKUP(C190,customers!$A$1:$A$1001,customers!$C$1:$C$1001,,0)))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4">
        <f>INDEX(products!$A$1:$G$49,MATCH(orders!$D190,products!$A$1:$A$49,0),MATCH(orders!L$1,products!$A$1:$G$1,0))</f>
        <v>4.4550000000000001</v>
      </c>
      <c r="M190">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 " ",(_xlfn.XLOOKUP(C191,customers!$A$1:$A$1001,customers!$C$1:$C$1001,,0)))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4">
        <f>INDEX(products!$A$1:$G$49,MATCH(orders!$D191,products!$A$1:$A$49,0),MATCH(orders!L$1,products!$A$1:$G$1,0))</f>
        <v>14.55</v>
      </c>
      <c r="M191">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 " ",(_xlfn.XLOOKUP(C192,customers!$A$1:$A$1001,customers!$C$1:$C$1001,,0)))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4">
        <f>INDEX(products!$A$1:$G$49,MATCH(orders!$D192,products!$A$1:$A$49,0),MATCH(orders!L$1,products!$A$1:$G$1,0))</f>
        <v>33.464999999999996</v>
      </c>
      <c r="M192">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 " ",(_xlfn.XLOOKUP(C193,customers!$A$1:$A$1001,customers!$C$1:$C$1001,,0)))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4">
        <f>INDEX(products!$A$1:$G$49,MATCH(orders!$D193,products!$A$1:$A$49,0),MATCH(orders!L$1,products!$A$1:$G$1,0))</f>
        <v>3.8849999999999998</v>
      </c>
      <c r="M193">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 " ",(_xlfn.XLOOKUP(C194,customers!$A$1:$A$1001,customers!$C$1:$C$1001,,0)))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4">
        <f>INDEX(products!$A$1:$G$49,MATCH(orders!$D194,products!$A$1:$A$49,0),MATCH(orders!L$1,products!$A$1:$G$1,0))</f>
        <v>12.15</v>
      </c>
      <c r="M194">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 " ",(_xlfn.XLOOKUP(C195,customers!$A$1:$A$1001,customers!$C$1:$C$1001,,0)))</f>
        <v xml:space="preserve">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4">
        <f>INDEX(products!$A$1:$G$49,MATCH(orders!$D195,products!$A$1:$A$49,0),MATCH(orders!L$1,products!$A$1:$G$1,0))</f>
        <v>14.85</v>
      </c>
      <c r="M195">
        <f t="shared" ref="M195:M258" si="9">L195*E195</f>
        <v>44.55</v>
      </c>
      <c r="N195" t="str">
        <f t="shared" ref="N195:N258" si="10">IF(I195="Rob", "Robusta",IF(I195= "Exc","Excelsa",IF(I195="Ara","Arabica",IF(I195="Lib","Liberica"," "))))</f>
        <v>Excelsa</v>
      </c>
      <c r="O195" t="str">
        <f t="shared" ref="O195:O258" si="11">IF(J195="M","Medium",IF(J195="L","Light", IF(J195= "D","Dark"," ")))</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 " ",(_xlfn.XLOOKUP(C196,customers!$A$1:$A$1001,customers!$C$1:$C$1001,,0)))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4">
        <f>INDEX(products!$A$1:$G$49,MATCH(orders!$D196,products!$A$1:$A$49,0),MATCH(orders!L$1,products!$A$1:$G$1,0))</f>
        <v>7.29</v>
      </c>
      <c r="M196">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 " ",(_xlfn.XLOOKUP(C197,customers!$A$1:$A$1001,customers!$C$1:$C$1001,,0)))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4">
        <f>INDEX(products!$A$1:$G$49,MATCH(orders!$D197,products!$A$1:$A$49,0),MATCH(orders!L$1,products!$A$1:$G$1,0))</f>
        <v>12.95</v>
      </c>
      <c r="M197">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 " ",(_xlfn.XLOOKUP(C198,customers!$A$1:$A$1001,customers!$C$1:$C$1001,,0)))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4">
        <f>INDEX(products!$A$1:$G$49,MATCH(orders!$D198,products!$A$1:$A$49,0),MATCH(orders!L$1,products!$A$1:$G$1,0))</f>
        <v>8.91</v>
      </c>
      <c r="M198">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 " ",(_xlfn.XLOOKUP(C199,customers!$A$1:$A$1001,customers!$C$1:$C$1001,,0)))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4">
        <f>INDEX(products!$A$1:$G$49,MATCH(orders!$D199,products!$A$1:$A$49,0),MATCH(orders!L$1,products!$A$1:$G$1,0))</f>
        <v>29.784999999999997</v>
      </c>
      <c r="M199">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 " ",(_xlfn.XLOOKUP(C200,customers!$A$1:$A$1001,customers!$C$1:$C$1001,,0)))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4">
        <f>INDEX(products!$A$1:$G$49,MATCH(orders!$D200,products!$A$1:$A$49,0),MATCH(orders!L$1,products!$A$1:$G$1,0))</f>
        <v>29.784999999999997</v>
      </c>
      <c r="M200">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 " ",(_xlfn.XLOOKUP(C201,customers!$A$1:$A$1001,customers!$C$1:$C$1001,,0)))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4">
        <f>INDEX(products!$A$1:$G$49,MATCH(orders!$D201,products!$A$1:$A$49,0),MATCH(orders!L$1,products!$A$1:$G$1,0))</f>
        <v>9.51</v>
      </c>
      <c r="M201">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 " ",(_xlfn.XLOOKUP(C202,customers!$A$1:$A$1001,customers!$C$1:$C$1001,,0)))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4">
        <f>INDEX(products!$A$1:$G$49,MATCH(orders!$D202,products!$A$1:$A$49,0),MATCH(orders!L$1,products!$A$1:$G$1,0))</f>
        <v>13.75</v>
      </c>
      <c r="M202">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 " ",(_xlfn.XLOOKUP(C203,customers!$A$1:$A$1001,customers!$C$1:$C$1001,,0)))</f>
        <v xml:space="preserve">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4">
        <f>INDEX(products!$A$1:$G$49,MATCH(orders!$D203,products!$A$1:$A$49,0),MATCH(orders!L$1,products!$A$1:$G$1,0))</f>
        <v>9.51</v>
      </c>
      <c r="M203">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 " ",(_xlfn.XLOOKUP(C204,customers!$A$1:$A$1001,customers!$C$1:$C$1001,,0)))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4">
        <f>INDEX(products!$A$1:$G$49,MATCH(orders!$D204,products!$A$1:$A$49,0),MATCH(orders!L$1,products!$A$1:$G$1,0))</f>
        <v>29.784999999999997</v>
      </c>
      <c r="M204">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 " ",(_xlfn.XLOOKUP(C205,customers!$A$1:$A$1001,customers!$C$1:$C$1001,,0)))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4">
        <f>INDEX(products!$A$1:$G$49,MATCH(orders!$D205,products!$A$1:$A$49,0),MATCH(orders!L$1,products!$A$1:$G$1,0))</f>
        <v>4.7549999999999999</v>
      </c>
      <c r="M20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 " ",(_xlfn.XLOOKUP(C206,customers!$A$1:$A$1001,customers!$C$1:$C$1001,,0)))</f>
        <v xml:space="preserve">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4">
        <f>INDEX(products!$A$1:$G$49,MATCH(orders!$D206,products!$A$1:$A$49,0),MATCH(orders!L$1,products!$A$1:$G$1,0))</f>
        <v>13.75</v>
      </c>
      <c r="M206">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 " ",(_xlfn.XLOOKUP(C207,customers!$A$1:$A$1001,customers!$C$1:$C$1001,,0)))</f>
        <v xml:space="preserve">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4">
        <f>INDEX(products!$A$1:$G$49,MATCH(orders!$D207,products!$A$1:$A$49,0),MATCH(orders!L$1,products!$A$1:$G$1,0))</f>
        <v>2.6849999999999996</v>
      </c>
      <c r="M207">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 " ",(_xlfn.XLOOKUP(C208,customers!$A$1:$A$1001,customers!$C$1:$C$1001,,0)))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4">
        <f>INDEX(products!$A$1:$G$49,MATCH(orders!$D208,products!$A$1:$A$49,0),MATCH(orders!L$1,products!$A$1:$G$1,0))</f>
        <v>11.25</v>
      </c>
      <c r="M208">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 " ",(_xlfn.XLOOKUP(C209,customers!$A$1:$A$1001,customers!$C$1:$C$1001,,0)))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4">
        <f>INDEX(products!$A$1:$G$49,MATCH(orders!$D209,products!$A$1:$A$49,0),MATCH(orders!L$1,products!$A$1:$G$1,0))</f>
        <v>6.75</v>
      </c>
      <c r="M209">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 " ",(_xlfn.XLOOKUP(C210,customers!$A$1:$A$1001,customers!$C$1:$C$1001,,0)))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4">
        <f>INDEX(products!$A$1:$G$49,MATCH(orders!$D210,products!$A$1:$A$49,0),MATCH(orders!L$1,products!$A$1:$G$1,0))</f>
        <v>7.29</v>
      </c>
      <c r="M210">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 " ",(_xlfn.XLOOKUP(C211,customers!$A$1:$A$1001,customers!$C$1:$C$1001,,0)))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4">
        <f>INDEX(products!$A$1:$G$49,MATCH(orders!$D211,products!$A$1:$A$49,0),MATCH(orders!L$1,products!$A$1:$G$1,0))</f>
        <v>6.75</v>
      </c>
      <c r="M211">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 " ",(_xlfn.XLOOKUP(C212,customers!$A$1:$A$1001,customers!$C$1:$C$1001,,0)))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4">
        <f>INDEX(products!$A$1:$G$49,MATCH(orders!$D212,products!$A$1:$A$49,0),MATCH(orders!L$1,products!$A$1:$G$1,0))</f>
        <v>12.95</v>
      </c>
      <c r="M212">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 " ",(_xlfn.XLOOKUP(C213,customers!$A$1:$A$1001,customers!$C$1:$C$1001,,0)))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4">
        <f>INDEX(products!$A$1:$G$49,MATCH(orders!$D213,products!$A$1:$A$49,0),MATCH(orders!L$1,products!$A$1:$G$1,0))</f>
        <v>8.91</v>
      </c>
      <c r="M213">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 " ",(_xlfn.XLOOKUP(C214,customers!$A$1:$A$1001,customers!$C$1:$C$1001,,0)))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4">
        <f>INDEX(products!$A$1:$G$49,MATCH(orders!$D214,products!$A$1:$A$49,0),MATCH(orders!L$1,products!$A$1:$G$1,0))</f>
        <v>3.645</v>
      </c>
      <c r="M214">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 " ",(_xlfn.XLOOKUP(C215,customers!$A$1:$A$1001,customers!$C$1:$C$1001,,0)))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4">
        <f>INDEX(products!$A$1:$G$49,MATCH(orders!$D215,products!$A$1:$A$49,0),MATCH(orders!L$1,products!$A$1:$G$1,0))</f>
        <v>20.584999999999997</v>
      </c>
      <c r="M21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 " ",(_xlfn.XLOOKUP(C216,customers!$A$1:$A$1001,customers!$C$1:$C$1001,,0)))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4">
        <f>INDEX(products!$A$1:$G$49,MATCH(orders!$D216,products!$A$1:$A$49,0),MATCH(orders!L$1,products!$A$1:$G$1,0))</f>
        <v>15.85</v>
      </c>
      <c r="M216">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 " ",(_xlfn.XLOOKUP(C217,customers!$A$1:$A$1001,customers!$C$1:$C$1001,,0)))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4">
        <f>INDEX(products!$A$1:$G$49,MATCH(orders!$D217,products!$A$1:$A$49,0),MATCH(orders!L$1,products!$A$1:$G$1,0))</f>
        <v>3.8849999999999998</v>
      </c>
      <c r="M217">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 " ",(_xlfn.XLOOKUP(C218,customers!$A$1:$A$1001,customers!$C$1:$C$1001,,0)))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4">
        <f>INDEX(products!$A$1:$G$49,MATCH(orders!$D218,products!$A$1:$A$49,0),MATCH(orders!L$1,products!$A$1:$G$1,0))</f>
        <v>14.55</v>
      </c>
      <c r="M218">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 " ",(_xlfn.XLOOKUP(C219,customers!$A$1:$A$1001,customers!$C$1:$C$1001,,0)))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4">
        <f>INDEX(products!$A$1:$G$49,MATCH(orders!$D219,products!$A$1:$A$49,0),MATCH(orders!L$1,products!$A$1:$G$1,0))</f>
        <v>8.91</v>
      </c>
      <c r="M219">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 " ",(_xlfn.XLOOKUP(C220,customers!$A$1:$A$1001,customers!$C$1:$C$1001,,0)))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4">
        <f>INDEX(products!$A$1:$G$49,MATCH(orders!$D220,products!$A$1:$A$49,0),MATCH(orders!L$1,products!$A$1:$G$1,0))</f>
        <v>11.25</v>
      </c>
      <c r="M220">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 " ",(_xlfn.XLOOKUP(C221,customers!$A$1:$A$1001,customers!$C$1:$C$1001,,0)))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4">
        <f>INDEX(products!$A$1:$G$49,MATCH(orders!$D221,products!$A$1:$A$49,0),MATCH(orders!L$1,products!$A$1:$G$1,0))</f>
        <v>3.5849999999999995</v>
      </c>
      <c r="M221">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 " ",(_xlfn.XLOOKUP(C222,customers!$A$1:$A$1001,customers!$C$1:$C$1001,,0)))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4">
        <f>INDEX(products!$A$1:$G$49,MATCH(orders!$D222,products!$A$1:$A$49,0),MATCH(orders!L$1,products!$A$1:$G$1,0))</f>
        <v>2.9849999999999999</v>
      </c>
      <c r="M222">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 " ",(_xlfn.XLOOKUP(C223,customers!$A$1:$A$1001,customers!$C$1:$C$1001,,0)))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4">
        <f>INDEX(products!$A$1:$G$49,MATCH(orders!$D223,products!$A$1:$A$49,0),MATCH(orders!L$1,products!$A$1:$G$1,0))</f>
        <v>12.95</v>
      </c>
      <c r="M223">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 " ",(_xlfn.XLOOKUP(C224,customers!$A$1:$A$1001,customers!$C$1:$C$1001,,0)))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4">
        <f>INDEX(products!$A$1:$G$49,MATCH(orders!$D224,products!$A$1:$A$49,0),MATCH(orders!L$1,products!$A$1:$G$1,0))</f>
        <v>7.77</v>
      </c>
      <c r="M224">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 " ",(_xlfn.XLOOKUP(C225,customers!$A$1:$A$1001,customers!$C$1:$C$1001,,0)))</f>
        <v xml:space="preserve">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4">
        <f>INDEX(products!$A$1:$G$49,MATCH(orders!$D225,products!$A$1:$A$49,0),MATCH(orders!L$1,products!$A$1:$G$1,0))</f>
        <v>14.85</v>
      </c>
      <c r="M22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 " ",(_xlfn.XLOOKUP(C226,customers!$A$1:$A$1001,customers!$C$1:$C$1001,,0)))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4">
        <f>INDEX(products!$A$1:$G$49,MATCH(orders!$D226,products!$A$1:$A$49,0),MATCH(orders!L$1,products!$A$1:$G$1,0))</f>
        <v>29.784999999999997</v>
      </c>
      <c r="M226">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 " ",(_xlfn.XLOOKUP(C227,customers!$A$1:$A$1001,customers!$C$1:$C$1001,,0)))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4">
        <f>INDEX(products!$A$1:$G$49,MATCH(orders!$D227,products!$A$1:$A$49,0),MATCH(orders!L$1,products!$A$1:$G$1,0))</f>
        <v>3.5849999999999995</v>
      </c>
      <c r="M227">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 " ",(_xlfn.XLOOKUP(C228,customers!$A$1:$A$1001,customers!$C$1:$C$1001,,0)))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4">
        <f>INDEX(products!$A$1:$G$49,MATCH(orders!$D228,products!$A$1:$A$49,0),MATCH(orders!L$1,products!$A$1:$G$1,0))</f>
        <v>25.874999999999996</v>
      </c>
      <c r="M228">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 " ",(_xlfn.XLOOKUP(C229,customers!$A$1:$A$1001,customers!$C$1:$C$1001,,0)))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4">
        <f>INDEX(products!$A$1:$G$49,MATCH(orders!$D229,products!$A$1:$A$49,0),MATCH(orders!L$1,products!$A$1:$G$1,0))</f>
        <v>2.6849999999999996</v>
      </c>
      <c r="M229">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 " ",(_xlfn.XLOOKUP(C230,customers!$A$1:$A$1001,customers!$C$1:$C$1001,,0)))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4">
        <f>INDEX(products!$A$1:$G$49,MATCH(orders!$D230,products!$A$1:$A$49,0),MATCH(orders!L$1,products!$A$1:$G$1,0))</f>
        <v>3.5849999999999995</v>
      </c>
      <c r="M230">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 " ",(_xlfn.XLOOKUP(C231,customers!$A$1:$A$1001,customers!$C$1:$C$1001,,0)))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4">
        <f>INDEX(products!$A$1:$G$49,MATCH(orders!$D231,products!$A$1:$A$49,0),MATCH(orders!L$1,products!$A$1:$G$1,0))</f>
        <v>4.3650000000000002</v>
      </c>
      <c r="M231">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 " ",(_xlfn.XLOOKUP(C232,customers!$A$1:$A$1001,customers!$C$1:$C$1001,,0)))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4">
        <f>INDEX(products!$A$1:$G$49,MATCH(orders!$D232,products!$A$1:$A$49,0),MATCH(orders!L$1,products!$A$1:$G$1,0))</f>
        <v>25.874999999999996</v>
      </c>
      <c r="M232">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 " ",(_xlfn.XLOOKUP(C233,customers!$A$1:$A$1001,customers!$C$1:$C$1001,,0)))</f>
        <v xml:space="preserve">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4">
        <f>INDEX(products!$A$1:$G$49,MATCH(orders!$D233,products!$A$1:$A$49,0),MATCH(orders!L$1,products!$A$1:$G$1,0))</f>
        <v>4.3650000000000002</v>
      </c>
      <c r="M233">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 " ",(_xlfn.XLOOKUP(C234,customers!$A$1:$A$1001,customers!$C$1:$C$1001,,0)))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4">
        <f>INDEX(products!$A$1:$G$49,MATCH(orders!$D234,products!$A$1:$A$49,0),MATCH(orders!L$1,products!$A$1:$G$1,0))</f>
        <v>4.7549999999999999</v>
      </c>
      <c r="M234">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 " ",(_xlfn.XLOOKUP(C235,customers!$A$1:$A$1001,customers!$C$1:$C$1001,,0)))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4">
        <f>INDEX(products!$A$1:$G$49,MATCH(orders!$D235,products!$A$1:$A$49,0),MATCH(orders!L$1,products!$A$1:$G$1,0))</f>
        <v>4.125</v>
      </c>
      <c r="M23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 " ",(_xlfn.XLOOKUP(C236,customers!$A$1:$A$1001,customers!$C$1:$C$1001,,0)))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4">
        <f>INDEX(products!$A$1:$G$49,MATCH(orders!$D236,products!$A$1:$A$49,0),MATCH(orders!L$1,products!$A$1:$G$1,0))</f>
        <v>36.454999999999998</v>
      </c>
      <c r="M236">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 " ",(_xlfn.XLOOKUP(C237,customers!$A$1:$A$1001,customers!$C$1:$C$1001,,0)))</f>
        <v xml:space="preserve">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4">
        <f>INDEX(products!$A$1:$G$49,MATCH(orders!$D237,products!$A$1:$A$49,0),MATCH(orders!L$1,products!$A$1:$G$1,0))</f>
        <v>36.454999999999998</v>
      </c>
      <c r="M237">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 " ",(_xlfn.XLOOKUP(C238,customers!$A$1:$A$1001,customers!$C$1:$C$1001,,0)))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4">
        <f>INDEX(products!$A$1:$G$49,MATCH(orders!$D238,products!$A$1:$A$49,0),MATCH(orders!L$1,products!$A$1:$G$1,0))</f>
        <v>29.784999999999997</v>
      </c>
      <c r="M238">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 " ",(_xlfn.XLOOKUP(C239,customers!$A$1:$A$1001,customers!$C$1:$C$1001,,0)))</f>
        <v xml:space="preserve">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4">
        <f>INDEX(products!$A$1:$G$49,MATCH(orders!$D239,products!$A$1:$A$49,0),MATCH(orders!L$1,products!$A$1:$G$1,0))</f>
        <v>3.5849999999999995</v>
      </c>
      <c r="M239">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 " ",(_xlfn.XLOOKUP(C240,customers!$A$1:$A$1001,customers!$C$1:$C$1001,,0)))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4">
        <f>INDEX(products!$A$1:$G$49,MATCH(orders!$D240,products!$A$1:$A$49,0),MATCH(orders!L$1,products!$A$1:$G$1,0))</f>
        <v>22.884999999999998</v>
      </c>
      <c r="M240">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 " ",(_xlfn.XLOOKUP(C241,customers!$A$1:$A$1001,customers!$C$1:$C$1001,,0)))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4">
        <f>INDEX(products!$A$1:$G$49,MATCH(orders!$D241,products!$A$1:$A$49,0),MATCH(orders!L$1,products!$A$1:$G$1,0))</f>
        <v>14.85</v>
      </c>
      <c r="M241">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 " ",(_xlfn.XLOOKUP(C242,customers!$A$1:$A$1001,customers!$C$1:$C$1001,,0)))</f>
        <v xml:space="preserve">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4">
        <f>INDEX(products!$A$1:$G$49,MATCH(orders!$D242,products!$A$1:$A$49,0),MATCH(orders!L$1,products!$A$1:$G$1,0))</f>
        <v>25.874999999999996</v>
      </c>
      <c r="M242">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 " ",(_xlfn.XLOOKUP(C243,customers!$A$1:$A$1001,customers!$C$1:$C$1001,,0)))</f>
        <v xml:space="preserve">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4">
        <f>INDEX(products!$A$1:$G$49,MATCH(orders!$D243,products!$A$1:$A$49,0),MATCH(orders!L$1,products!$A$1:$G$1,0))</f>
        <v>22.884999999999998</v>
      </c>
      <c r="M243">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 " ",(_xlfn.XLOOKUP(C244,customers!$A$1:$A$1001,customers!$C$1:$C$1001,,0)))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4">
        <f>INDEX(products!$A$1:$G$49,MATCH(orders!$D244,products!$A$1:$A$49,0),MATCH(orders!L$1,products!$A$1:$G$1,0))</f>
        <v>12.15</v>
      </c>
      <c r="M244">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 " ",(_xlfn.XLOOKUP(C245,customers!$A$1:$A$1001,customers!$C$1:$C$1001,,0)))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4">
        <f>INDEX(products!$A$1:$G$49,MATCH(orders!$D245,products!$A$1:$A$49,0),MATCH(orders!L$1,products!$A$1:$G$1,0))</f>
        <v>7.29</v>
      </c>
      <c r="M24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 " ",(_xlfn.XLOOKUP(C246,customers!$A$1:$A$1001,customers!$C$1:$C$1001,,0)))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4">
        <f>INDEX(products!$A$1:$G$49,MATCH(orders!$D246,products!$A$1:$A$49,0),MATCH(orders!L$1,products!$A$1:$G$1,0))</f>
        <v>33.464999999999996</v>
      </c>
      <c r="M246">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 " ",(_xlfn.XLOOKUP(C247,customers!$A$1:$A$1001,customers!$C$1:$C$1001,,0)))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4">
        <f>INDEX(products!$A$1:$G$49,MATCH(orders!$D247,products!$A$1:$A$49,0),MATCH(orders!L$1,products!$A$1:$G$1,0))</f>
        <v>4.7549999999999999</v>
      </c>
      <c r="M247">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 " ",(_xlfn.XLOOKUP(C248,customers!$A$1:$A$1001,customers!$C$1:$C$1001,,0)))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4">
        <f>INDEX(products!$A$1:$G$49,MATCH(orders!$D248,products!$A$1:$A$49,0),MATCH(orders!L$1,products!$A$1:$G$1,0))</f>
        <v>12.95</v>
      </c>
      <c r="M248">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 " ",(_xlfn.XLOOKUP(C249,customers!$A$1:$A$1001,customers!$C$1:$C$1001,,0)))</f>
        <v xml:space="preserve">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4">
        <f>INDEX(products!$A$1:$G$49,MATCH(orders!$D249,products!$A$1:$A$49,0),MATCH(orders!L$1,products!$A$1:$G$1,0))</f>
        <v>3.5849999999999995</v>
      </c>
      <c r="M249">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 " ",(_xlfn.XLOOKUP(C250,customers!$A$1:$A$1001,customers!$C$1:$C$1001,,0)))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4">
        <f>INDEX(products!$A$1:$G$49,MATCH(orders!$D250,products!$A$1:$A$49,0),MATCH(orders!L$1,products!$A$1:$G$1,0))</f>
        <v>9.9499999999999993</v>
      </c>
      <c r="M250">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 " ",(_xlfn.XLOOKUP(C251,customers!$A$1:$A$1001,customers!$C$1:$C$1001,,0)))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4">
        <f>INDEX(products!$A$1:$G$49,MATCH(orders!$D251,products!$A$1:$A$49,0),MATCH(orders!L$1,products!$A$1:$G$1,0))</f>
        <v>15.85</v>
      </c>
      <c r="M251">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 " ",(_xlfn.XLOOKUP(C252,customers!$A$1:$A$1001,customers!$C$1:$C$1001,,0)))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4">
        <f>INDEX(products!$A$1:$G$49,MATCH(orders!$D252,products!$A$1:$A$49,0),MATCH(orders!L$1,products!$A$1:$G$1,0))</f>
        <v>2.9849999999999999</v>
      </c>
      <c r="M252">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 " ",(_xlfn.XLOOKUP(C253,customers!$A$1:$A$1001,customers!$C$1:$C$1001,,0)))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4">
        <f>INDEX(products!$A$1:$G$49,MATCH(orders!$D253,products!$A$1:$A$49,0),MATCH(orders!L$1,products!$A$1:$G$1,0))</f>
        <v>13.75</v>
      </c>
      <c r="M253">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 " ",(_xlfn.XLOOKUP(C254,customers!$A$1:$A$1001,customers!$C$1:$C$1001,,0)))</f>
        <v xml:space="preserve">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4">
        <f>INDEX(products!$A$1:$G$49,MATCH(orders!$D254,products!$A$1:$A$49,0),MATCH(orders!L$1,products!$A$1:$G$1,0))</f>
        <v>9.9499999999999993</v>
      </c>
      <c r="M254">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 " ",(_xlfn.XLOOKUP(C255,customers!$A$1:$A$1001,customers!$C$1:$C$1001,,0)))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4">
        <f>INDEX(products!$A$1:$G$49,MATCH(orders!$D255,products!$A$1:$A$49,0),MATCH(orders!L$1,products!$A$1:$G$1,0))</f>
        <v>14.55</v>
      </c>
      <c r="M25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 " ",(_xlfn.XLOOKUP(C256,customers!$A$1:$A$1001,customers!$C$1:$C$1001,,0)))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4">
        <f>INDEX(products!$A$1:$G$49,MATCH(orders!$D256,products!$A$1:$A$49,0),MATCH(orders!L$1,products!$A$1:$G$1,0))</f>
        <v>7.169999999999999</v>
      </c>
      <c r="M256">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 " ",(_xlfn.XLOOKUP(C257,customers!$A$1:$A$1001,customers!$C$1:$C$1001,,0)))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4">
        <f>INDEX(products!$A$1:$G$49,MATCH(orders!$D257,products!$A$1:$A$49,0),MATCH(orders!L$1,products!$A$1:$G$1,0))</f>
        <v>7.169999999999999</v>
      </c>
      <c r="M257">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 " ",(_xlfn.XLOOKUP(C258,customers!$A$1:$A$1001,customers!$C$1:$C$1001,,0)))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4">
        <f>INDEX(products!$A$1:$G$49,MATCH(orders!$D258,products!$A$1:$A$49,0),MATCH(orders!L$1,products!$A$1:$G$1,0))</f>
        <v>8.73</v>
      </c>
      <c r="M258">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 " ",(_xlfn.XLOOKUP(C259,customers!$A$1:$A$1001,customers!$C$1:$C$1001,,0)))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4">
        <f>INDEX(products!$A$1:$G$49,MATCH(orders!$D259,products!$A$1:$A$49,0),MATCH(orders!L$1,products!$A$1:$G$1,0))</f>
        <v>27.945</v>
      </c>
      <c r="M259">
        <f t="shared" ref="M259:M322" si="12">L259*E259</f>
        <v>27.945</v>
      </c>
      <c r="N259" t="str">
        <f t="shared" ref="N259:N322" si="13">IF(I259="Rob", "Robusta",IF(I259= "Exc","Excelsa",IF(I259="Ara","Arabica",IF(I259="Lib","Liberica"," "))))</f>
        <v>Excelsa</v>
      </c>
      <c r="O259" t="str">
        <f t="shared" ref="O259:O322" si="14">IF(J259="M","Medium",IF(J259="L","Light", IF(J259= "D","Dark"," ")))</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 " ",(_xlfn.XLOOKUP(C260,customers!$A$1:$A$1001,customers!$C$1:$C$1001,,0)))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4">
        <f>INDEX(products!$A$1:$G$49,MATCH(orders!$D260,products!$A$1:$A$49,0),MATCH(orders!L$1,products!$A$1:$G$1,0))</f>
        <v>27.945</v>
      </c>
      <c r="M260">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 " ",(_xlfn.XLOOKUP(C261,customers!$A$1:$A$1001,customers!$C$1:$C$1001,,0)))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4">
        <f>INDEX(products!$A$1:$G$49,MATCH(orders!$D261,products!$A$1:$A$49,0),MATCH(orders!L$1,products!$A$1:$G$1,0))</f>
        <v>2.9849999999999999</v>
      </c>
      <c r="M261">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 " ",(_xlfn.XLOOKUP(C262,customers!$A$1:$A$1001,customers!$C$1:$C$1001,,0)))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4">
        <f>INDEX(products!$A$1:$G$49,MATCH(orders!$D262,products!$A$1:$A$49,0),MATCH(orders!L$1,products!$A$1:$G$1,0))</f>
        <v>27.484999999999996</v>
      </c>
      <c r="M262">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 " ",(_xlfn.XLOOKUP(C263,customers!$A$1:$A$1001,customers!$C$1:$C$1001,,0)))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4">
        <f>INDEX(products!$A$1:$G$49,MATCH(orders!$D263,products!$A$1:$A$49,0),MATCH(orders!L$1,products!$A$1:$G$1,0))</f>
        <v>11.95</v>
      </c>
      <c r="M263">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 " ",(_xlfn.XLOOKUP(C264,customers!$A$1:$A$1001,customers!$C$1:$C$1001,,0)))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4">
        <f>INDEX(products!$A$1:$G$49,MATCH(orders!$D264,products!$A$1:$A$49,0),MATCH(orders!L$1,products!$A$1:$G$1,0))</f>
        <v>13.75</v>
      </c>
      <c r="M264">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 " ",(_xlfn.XLOOKUP(C265,customers!$A$1:$A$1001,customers!$C$1:$C$1001,,0)))</f>
        <v xml:space="preserve">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4">
        <f>INDEX(products!$A$1:$G$49,MATCH(orders!$D265,products!$A$1:$A$49,0),MATCH(orders!L$1,products!$A$1:$G$1,0))</f>
        <v>33.464999999999996</v>
      </c>
      <c r="M26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 " ",(_xlfn.XLOOKUP(C266,customers!$A$1:$A$1001,customers!$C$1:$C$1001,,0)))</f>
        <v xml:space="preserve">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4">
        <f>INDEX(products!$A$1:$G$49,MATCH(orders!$D266,products!$A$1:$A$49,0),MATCH(orders!L$1,products!$A$1:$G$1,0))</f>
        <v>11.95</v>
      </c>
      <c r="M266">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 " ",(_xlfn.XLOOKUP(C267,customers!$A$1:$A$1001,customers!$C$1:$C$1001,,0)))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4">
        <f>INDEX(products!$A$1:$G$49,MATCH(orders!$D267,products!$A$1:$A$49,0),MATCH(orders!L$1,products!$A$1:$G$1,0))</f>
        <v>5.97</v>
      </c>
      <c r="M267">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 " ",(_xlfn.XLOOKUP(C268,customers!$A$1:$A$1001,customers!$C$1:$C$1001,,0)))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4">
        <f>INDEX(products!$A$1:$G$49,MATCH(orders!$D268,products!$A$1:$A$49,0),MATCH(orders!L$1,products!$A$1:$G$1,0))</f>
        <v>12.15</v>
      </c>
      <c r="M268">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 " ",(_xlfn.XLOOKUP(C269,customers!$A$1:$A$1001,customers!$C$1:$C$1001,,0)))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4">
        <f>INDEX(products!$A$1:$G$49,MATCH(orders!$D269,products!$A$1:$A$49,0),MATCH(orders!L$1,products!$A$1:$G$1,0))</f>
        <v>3.645</v>
      </c>
      <c r="M269">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 " ",(_xlfn.XLOOKUP(C270,customers!$A$1:$A$1001,customers!$C$1:$C$1001,,0)))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4">
        <f>INDEX(products!$A$1:$G$49,MATCH(orders!$D270,products!$A$1:$A$49,0),MATCH(orders!L$1,products!$A$1:$G$1,0))</f>
        <v>9.9499999999999993</v>
      </c>
      <c r="M270">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 " ",(_xlfn.XLOOKUP(C271,customers!$A$1:$A$1001,customers!$C$1:$C$1001,,0)))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4">
        <f>INDEX(products!$A$1:$G$49,MATCH(orders!$D271,products!$A$1:$A$49,0),MATCH(orders!L$1,products!$A$1:$G$1,0))</f>
        <v>2.9849999999999999</v>
      </c>
      <c r="M271">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 " ",(_xlfn.XLOOKUP(C272,customers!$A$1:$A$1001,customers!$C$1:$C$1001,,0)))</f>
        <v xml:space="preserve">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4">
        <f>INDEX(products!$A$1:$G$49,MATCH(orders!$D272,products!$A$1:$A$49,0),MATCH(orders!L$1,products!$A$1:$G$1,0))</f>
        <v>7.29</v>
      </c>
      <c r="M272">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 " ",(_xlfn.XLOOKUP(C273,customers!$A$1:$A$1001,customers!$C$1:$C$1001,,0)))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4">
        <f>INDEX(products!$A$1:$G$49,MATCH(orders!$D273,products!$A$1:$A$49,0),MATCH(orders!L$1,products!$A$1:$G$1,0))</f>
        <v>2.9849999999999999</v>
      </c>
      <c r="M273">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 " ",(_xlfn.XLOOKUP(C274,customers!$A$1:$A$1001,customers!$C$1:$C$1001,,0)))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4">
        <f>INDEX(products!$A$1:$G$49,MATCH(orders!$D274,products!$A$1:$A$49,0),MATCH(orders!L$1,products!$A$1:$G$1,0))</f>
        <v>11.95</v>
      </c>
      <c r="M274">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 " ",(_xlfn.XLOOKUP(C275,customers!$A$1:$A$1001,customers!$C$1:$C$1001,,0)))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4">
        <f>INDEX(products!$A$1:$G$49,MATCH(orders!$D275,products!$A$1:$A$49,0),MATCH(orders!L$1,products!$A$1:$G$1,0))</f>
        <v>3.8849999999999998</v>
      </c>
      <c r="M27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 " ",(_xlfn.XLOOKUP(C276,customers!$A$1:$A$1001,customers!$C$1:$C$1001,,0)))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4">
        <f>INDEX(products!$A$1:$G$49,MATCH(orders!$D276,products!$A$1:$A$49,0),MATCH(orders!L$1,products!$A$1:$G$1,0))</f>
        <v>25.874999999999996</v>
      </c>
      <c r="M276">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 " ",(_xlfn.XLOOKUP(C277,customers!$A$1:$A$1001,customers!$C$1:$C$1001,,0)))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4">
        <f>INDEX(products!$A$1:$G$49,MATCH(orders!$D277,products!$A$1:$A$49,0),MATCH(orders!L$1,products!$A$1:$G$1,0))</f>
        <v>34.154999999999994</v>
      </c>
      <c r="M277">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 " ",(_xlfn.XLOOKUP(C278,customers!$A$1:$A$1001,customers!$C$1:$C$1001,,0)))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4">
        <f>INDEX(products!$A$1:$G$49,MATCH(orders!$D278,products!$A$1:$A$49,0),MATCH(orders!L$1,products!$A$1:$G$1,0))</f>
        <v>27.484999999999996</v>
      </c>
      <c r="M278">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 " ",(_xlfn.XLOOKUP(C279,customers!$A$1:$A$1001,customers!$C$1:$C$1001,,0)))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4">
        <f>INDEX(products!$A$1:$G$49,MATCH(orders!$D279,products!$A$1:$A$49,0),MATCH(orders!L$1,products!$A$1:$G$1,0))</f>
        <v>14.85</v>
      </c>
      <c r="M279">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 " ",(_xlfn.XLOOKUP(C280,customers!$A$1:$A$1001,customers!$C$1:$C$1001,,0)))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4">
        <f>INDEX(products!$A$1:$G$49,MATCH(orders!$D280,products!$A$1:$A$49,0),MATCH(orders!L$1,products!$A$1:$G$1,0))</f>
        <v>3.8849999999999998</v>
      </c>
      <c r="M280">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 " ",(_xlfn.XLOOKUP(C281,customers!$A$1:$A$1001,customers!$C$1:$C$1001,,0)))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4">
        <f>INDEX(products!$A$1:$G$49,MATCH(orders!$D281,products!$A$1:$A$49,0),MATCH(orders!L$1,products!$A$1:$G$1,0))</f>
        <v>33.464999999999996</v>
      </c>
      <c r="M281">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 " ",(_xlfn.XLOOKUP(C282,customers!$A$1:$A$1001,customers!$C$1:$C$1001,,0)))</f>
        <v xml:space="preserve">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4">
        <f>INDEX(products!$A$1:$G$49,MATCH(orders!$D282,products!$A$1:$A$49,0),MATCH(orders!L$1,products!$A$1:$G$1,0))</f>
        <v>8.25</v>
      </c>
      <c r="M282">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 " ",(_xlfn.XLOOKUP(C283,customers!$A$1:$A$1001,customers!$C$1:$C$1001,,0)))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4">
        <f>INDEX(products!$A$1:$G$49,MATCH(orders!$D283,products!$A$1:$A$49,0),MATCH(orders!L$1,products!$A$1:$G$1,0))</f>
        <v>14.85</v>
      </c>
      <c r="M283">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 " ",(_xlfn.XLOOKUP(C284,customers!$A$1:$A$1001,customers!$C$1:$C$1001,,0)))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4">
        <f>INDEX(products!$A$1:$G$49,MATCH(orders!$D284,products!$A$1:$A$49,0),MATCH(orders!L$1,products!$A$1:$G$1,0))</f>
        <v>7.77</v>
      </c>
      <c r="M284">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 " ",(_xlfn.XLOOKUP(C285,customers!$A$1:$A$1001,customers!$C$1:$C$1001,,0)))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4">
        <f>INDEX(products!$A$1:$G$49,MATCH(orders!$D285,products!$A$1:$A$49,0),MATCH(orders!L$1,products!$A$1:$G$1,0))</f>
        <v>5.3699999999999992</v>
      </c>
      <c r="M28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 " ",(_xlfn.XLOOKUP(C286,customers!$A$1:$A$1001,customers!$C$1:$C$1001,,0)))</f>
        <v xml:space="preserve">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4">
        <f>INDEX(products!$A$1:$G$49,MATCH(orders!$D286,products!$A$1:$A$49,0),MATCH(orders!L$1,products!$A$1:$G$1,0))</f>
        <v>31.624999999999996</v>
      </c>
      <c r="M286">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 " ",(_xlfn.XLOOKUP(C287,customers!$A$1:$A$1001,customers!$C$1:$C$1001,,0)))</f>
        <v xml:space="preserve">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4">
        <f>INDEX(products!$A$1:$G$49,MATCH(orders!$D287,products!$A$1:$A$49,0),MATCH(orders!L$1,products!$A$1:$G$1,0))</f>
        <v>36.454999999999998</v>
      </c>
      <c r="M287">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 " ",(_xlfn.XLOOKUP(C288,customers!$A$1:$A$1001,customers!$C$1:$C$1001,,0)))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4">
        <f>INDEX(products!$A$1:$G$49,MATCH(orders!$D288,products!$A$1:$A$49,0),MATCH(orders!L$1,products!$A$1:$G$1,0))</f>
        <v>3.375</v>
      </c>
      <c r="M288">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 " ",(_xlfn.XLOOKUP(C289,customers!$A$1:$A$1001,customers!$C$1:$C$1001,,0)))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4">
        <f>INDEX(products!$A$1:$G$49,MATCH(orders!$D289,products!$A$1:$A$49,0),MATCH(orders!L$1,products!$A$1:$G$1,0))</f>
        <v>3.5849999999999995</v>
      </c>
      <c r="M289">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 " ",(_xlfn.XLOOKUP(C290,customers!$A$1:$A$1001,customers!$C$1:$C$1001,,0)))</f>
        <v xml:space="preserve">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4">
        <f>INDEX(products!$A$1:$G$49,MATCH(orders!$D290,products!$A$1:$A$49,0),MATCH(orders!L$1,products!$A$1:$G$1,0))</f>
        <v>8.25</v>
      </c>
      <c r="M290">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 " ",(_xlfn.XLOOKUP(C291,customers!$A$1:$A$1001,customers!$C$1:$C$1001,,0)))</f>
        <v xml:space="preserve">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4">
        <f>INDEX(products!$A$1:$G$49,MATCH(orders!$D291,products!$A$1:$A$49,0),MATCH(orders!L$1,products!$A$1:$G$1,0))</f>
        <v>2.6849999999999996</v>
      </c>
      <c r="M291">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 " ",(_xlfn.XLOOKUP(C292,customers!$A$1:$A$1001,customers!$C$1:$C$1001,,0)))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4">
        <f>INDEX(products!$A$1:$G$49,MATCH(orders!$D292,products!$A$1:$A$49,0),MATCH(orders!L$1,products!$A$1:$G$1,0))</f>
        <v>9.9499999999999993</v>
      </c>
      <c r="M292">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 " ",(_xlfn.XLOOKUP(C293,customers!$A$1:$A$1001,customers!$C$1:$C$1001,,0)))</f>
        <v xml:space="preserve">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4">
        <f>INDEX(products!$A$1:$G$49,MATCH(orders!$D293,products!$A$1:$A$49,0),MATCH(orders!L$1,products!$A$1:$G$1,0))</f>
        <v>8.25</v>
      </c>
      <c r="M293">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 " ",(_xlfn.XLOOKUP(C294,customers!$A$1:$A$1001,customers!$C$1:$C$1001,,0)))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4">
        <f>INDEX(products!$A$1:$G$49,MATCH(orders!$D294,products!$A$1:$A$49,0),MATCH(orders!L$1,products!$A$1:$G$1,0))</f>
        <v>5.97</v>
      </c>
      <c r="M294">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 " ",(_xlfn.XLOOKUP(C295,customers!$A$1:$A$1001,customers!$C$1:$C$1001,,0)))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4">
        <f>INDEX(products!$A$1:$G$49,MATCH(orders!$D295,products!$A$1:$A$49,0),MATCH(orders!L$1,products!$A$1:$G$1,0))</f>
        <v>5.97</v>
      </c>
      <c r="M29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 " ",(_xlfn.XLOOKUP(C296,customers!$A$1:$A$1001,customers!$C$1:$C$1001,,0)))</f>
        <v xml:space="preserve">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4">
        <f>INDEX(products!$A$1:$G$49,MATCH(orders!$D296,products!$A$1:$A$49,0),MATCH(orders!L$1,products!$A$1:$G$1,0))</f>
        <v>14.85</v>
      </c>
      <c r="M296">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 " ",(_xlfn.XLOOKUP(C297,customers!$A$1:$A$1001,customers!$C$1:$C$1001,,0)))</f>
        <v xml:space="preserve">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4">
        <f>INDEX(products!$A$1:$G$49,MATCH(orders!$D297,products!$A$1:$A$49,0),MATCH(orders!L$1,products!$A$1:$G$1,0))</f>
        <v>13.75</v>
      </c>
      <c r="M297">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 " ",(_xlfn.XLOOKUP(C298,customers!$A$1:$A$1001,customers!$C$1:$C$1001,,0)))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4">
        <f>INDEX(products!$A$1:$G$49,MATCH(orders!$D298,products!$A$1:$A$49,0),MATCH(orders!L$1,products!$A$1:$G$1,0))</f>
        <v>5.97</v>
      </c>
      <c r="M298">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 " ",(_xlfn.XLOOKUP(C299,customers!$A$1:$A$1001,customers!$C$1:$C$1001,,0)))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4">
        <f>INDEX(products!$A$1:$G$49,MATCH(orders!$D299,products!$A$1:$A$49,0),MATCH(orders!L$1,products!$A$1:$G$1,0))</f>
        <v>5.3699999999999992</v>
      </c>
      <c r="M299">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 " ",(_xlfn.XLOOKUP(C300,customers!$A$1:$A$1001,customers!$C$1:$C$1001,,0)))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4">
        <f>INDEX(products!$A$1:$G$49,MATCH(orders!$D300,products!$A$1:$A$49,0),MATCH(orders!L$1,products!$A$1:$G$1,0))</f>
        <v>4.4550000000000001</v>
      </c>
      <c r="M300">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 " ",(_xlfn.XLOOKUP(C301,customers!$A$1:$A$1001,customers!$C$1:$C$1001,,0)))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4">
        <f>INDEX(products!$A$1:$G$49,MATCH(orders!$D301,products!$A$1:$A$49,0),MATCH(orders!L$1,products!$A$1:$G$1,0))</f>
        <v>34.154999999999994</v>
      </c>
      <c r="M301">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 " ",(_xlfn.XLOOKUP(C302,customers!$A$1:$A$1001,customers!$C$1:$C$1001,,0)))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4">
        <f>INDEX(products!$A$1:$G$49,MATCH(orders!$D302,products!$A$1:$A$49,0),MATCH(orders!L$1,products!$A$1:$G$1,0))</f>
        <v>12.95</v>
      </c>
      <c r="M302">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 " ",(_xlfn.XLOOKUP(C303,customers!$A$1:$A$1001,customers!$C$1:$C$1001,,0)))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4">
        <f>INDEX(products!$A$1:$G$49,MATCH(orders!$D303,products!$A$1:$A$49,0),MATCH(orders!L$1,products!$A$1:$G$1,0))</f>
        <v>3.8849999999999998</v>
      </c>
      <c r="M303">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 " ",(_xlfn.XLOOKUP(C304,customers!$A$1:$A$1001,customers!$C$1:$C$1001,,0)))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4">
        <f>INDEX(products!$A$1:$G$49,MATCH(orders!$D304,products!$A$1:$A$49,0),MATCH(orders!L$1,products!$A$1:$G$1,0))</f>
        <v>6.75</v>
      </c>
      <c r="M304">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 " ",(_xlfn.XLOOKUP(C305,customers!$A$1:$A$1001,customers!$C$1:$C$1001,,0)))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4">
        <f>INDEX(products!$A$1:$G$49,MATCH(orders!$D305,products!$A$1:$A$49,0),MATCH(orders!L$1,products!$A$1:$G$1,0))</f>
        <v>27.945</v>
      </c>
      <c r="M30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 " ",(_xlfn.XLOOKUP(C306,customers!$A$1:$A$1001,customers!$C$1:$C$1001,,0)))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4">
        <f>INDEX(products!$A$1:$G$49,MATCH(orders!$D306,products!$A$1:$A$49,0),MATCH(orders!L$1,products!$A$1:$G$1,0))</f>
        <v>3.8849999999999998</v>
      </c>
      <c r="M306">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 " ",(_xlfn.XLOOKUP(C307,customers!$A$1:$A$1001,customers!$C$1:$C$1001,,0)))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4">
        <f>INDEX(products!$A$1:$G$49,MATCH(orders!$D307,products!$A$1:$A$49,0),MATCH(orders!L$1,products!$A$1:$G$1,0))</f>
        <v>4.3650000000000002</v>
      </c>
      <c r="M307">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 " ",(_xlfn.XLOOKUP(C308,customers!$A$1:$A$1001,customers!$C$1:$C$1001,,0)))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4">
        <f>INDEX(products!$A$1:$G$49,MATCH(orders!$D308,products!$A$1:$A$49,0),MATCH(orders!L$1,products!$A$1:$G$1,0))</f>
        <v>2.9849999999999999</v>
      </c>
      <c r="M308">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 " ",(_xlfn.XLOOKUP(C309,customers!$A$1:$A$1001,customers!$C$1:$C$1001,,0)))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4">
        <f>INDEX(products!$A$1:$G$49,MATCH(orders!$D309,products!$A$1:$A$49,0),MATCH(orders!L$1,products!$A$1:$G$1,0))</f>
        <v>11.25</v>
      </c>
      <c r="M309">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 " ",(_xlfn.XLOOKUP(C310,customers!$A$1:$A$1001,customers!$C$1:$C$1001,,0)))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4">
        <f>INDEX(products!$A$1:$G$49,MATCH(orders!$D310,products!$A$1:$A$49,0),MATCH(orders!L$1,products!$A$1:$G$1,0))</f>
        <v>11.25</v>
      </c>
      <c r="M310">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 " ",(_xlfn.XLOOKUP(C311,customers!$A$1:$A$1001,customers!$C$1:$C$1001,,0)))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4">
        <f>INDEX(products!$A$1:$G$49,MATCH(orders!$D311,products!$A$1:$A$49,0),MATCH(orders!L$1,products!$A$1:$G$1,0))</f>
        <v>4.3650000000000002</v>
      </c>
      <c r="M311">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 " ",(_xlfn.XLOOKUP(C312,customers!$A$1:$A$1001,customers!$C$1:$C$1001,,0)))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4">
        <f>INDEX(products!$A$1:$G$49,MATCH(orders!$D312,products!$A$1:$A$49,0),MATCH(orders!L$1,products!$A$1:$G$1,0))</f>
        <v>14.85</v>
      </c>
      <c r="M312">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 " ",(_xlfn.XLOOKUP(C313,customers!$A$1:$A$1001,customers!$C$1:$C$1001,,0)))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4">
        <f>INDEX(products!$A$1:$G$49,MATCH(orders!$D313,products!$A$1:$A$49,0),MATCH(orders!L$1,products!$A$1:$G$1,0))</f>
        <v>31.624999999999996</v>
      </c>
      <c r="M313">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 " ",(_xlfn.XLOOKUP(C314,customers!$A$1:$A$1001,customers!$C$1:$C$1001,,0)))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4">
        <f>INDEX(products!$A$1:$G$49,MATCH(orders!$D314,products!$A$1:$A$49,0),MATCH(orders!L$1,products!$A$1:$G$1,0))</f>
        <v>5.97</v>
      </c>
      <c r="M314">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 " ",(_xlfn.XLOOKUP(C315,customers!$A$1:$A$1001,customers!$C$1:$C$1001,,0)))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4">
        <f>INDEX(products!$A$1:$G$49,MATCH(orders!$D315,products!$A$1:$A$49,0),MATCH(orders!L$1,products!$A$1:$G$1,0))</f>
        <v>9.9499999999999993</v>
      </c>
      <c r="M31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 " ",(_xlfn.XLOOKUP(C316,customers!$A$1:$A$1001,customers!$C$1:$C$1001,,0)))</f>
        <v xml:space="preserve">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4">
        <f>INDEX(products!$A$1:$G$49,MATCH(orders!$D316,products!$A$1:$A$49,0),MATCH(orders!L$1,products!$A$1:$G$1,0))</f>
        <v>8.9499999999999993</v>
      </c>
      <c r="M316">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 " ",(_xlfn.XLOOKUP(C317,customers!$A$1:$A$1001,customers!$C$1:$C$1001,,0)))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4">
        <f>INDEX(products!$A$1:$G$49,MATCH(orders!$D317,products!$A$1:$A$49,0),MATCH(orders!L$1,products!$A$1:$G$1,0))</f>
        <v>34.154999999999994</v>
      </c>
      <c r="M317">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 " ",(_xlfn.XLOOKUP(C318,customers!$A$1:$A$1001,customers!$C$1:$C$1001,,0)))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4">
        <f>INDEX(products!$A$1:$G$49,MATCH(orders!$D318,products!$A$1:$A$49,0),MATCH(orders!L$1,products!$A$1:$G$1,0))</f>
        <v>34.154999999999994</v>
      </c>
      <c r="M318">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 " ",(_xlfn.XLOOKUP(C319,customers!$A$1:$A$1001,customers!$C$1:$C$1001,,0)))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4">
        <f>INDEX(products!$A$1:$G$49,MATCH(orders!$D319,products!$A$1:$A$49,0),MATCH(orders!L$1,products!$A$1:$G$1,0))</f>
        <v>7.29</v>
      </c>
      <c r="M319">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 " ",(_xlfn.XLOOKUP(C320,customers!$A$1:$A$1001,customers!$C$1:$C$1001,,0)))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4">
        <f>INDEX(products!$A$1:$G$49,MATCH(orders!$D320,products!$A$1:$A$49,0),MATCH(orders!L$1,products!$A$1:$G$1,0))</f>
        <v>25.874999999999996</v>
      </c>
      <c r="M320">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 " ",(_xlfn.XLOOKUP(C321,customers!$A$1:$A$1001,customers!$C$1:$C$1001,,0)))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4">
        <f>INDEX(products!$A$1:$G$49,MATCH(orders!$D321,products!$A$1:$A$49,0),MATCH(orders!L$1,products!$A$1:$G$1,0))</f>
        <v>4.125</v>
      </c>
      <c r="M321">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 " ",(_xlfn.XLOOKUP(C322,customers!$A$1:$A$1001,customers!$C$1:$C$1001,,0)))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4">
        <f>INDEX(products!$A$1:$G$49,MATCH(orders!$D322,products!$A$1:$A$49,0),MATCH(orders!L$1,products!$A$1:$G$1,0))</f>
        <v>3.8849999999999998</v>
      </c>
      <c r="M322">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 " ",(_xlfn.XLOOKUP(C323,customers!$A$1:$A$1001,customers!$C$1:$C$1001,,0)))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4">
        <f>INDEX(products!$A$1:$G$49,MATCH(orders!$D323,products!$A$1:$A$49,0),MATCH(orders!L$1,products!$A$1:$G$1,0))</f>
        <v>3.375</v>
      </c>
      <c r="M323">
        <f t="shared" ref="M323:M386" si="15">L323*E323</f>
        <v>20.25</v>
      </c>
      <c r="N323" t="str">
        <f t="shared" ref="N323:N386" si="16">IF(I323="Rob", "Robusta",IF(I323= "Exc","Excelsa",IF(I323="Ara","Arabica",IF(I323="Lib","Liberica"," "))))</f>
        <v>Arabica</v>
      </c>
      <c r="O323" t="str">
        <f t="shared" ref="O323:O386" si="17">IF(J323="M","Medium",IF(J323="L","Light", IF(J323= "D","Dark"," ")))</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 " ",(_xlfn.XLOOKUP(C324,customers!$A$1:$A$1001,customers!$C$1:$C$1001,,0)))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4">
        <f>INDEX(products!$A$1:$G$49,MATCH(orders!$D324,products!$A$1:$A$49,0),MATCH(orders!L$1,products!$A$1:$G$1,0))</f>
        <v>7.77</v>
      </c>
      <c r="M324">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 " ",(_xlfn.XLOOKUP(C325,customers!$A$1:$A$1001,customers!$C$1:$C$1001,,0)))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4">
        <f>INDEX(products!$A$1:$G$49,MATCH(orders!$D325,products!$A$1:$A$49,0),MATCH(orders!L$1,products!$A$1:$G$1,0))</f>
        <v>3.645</v>
      </c>
      <c r="M32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 " ",(_xlfn.XLOOKUP(C326,customers!$A$1:$A$1001,customers!$C$1:$C$1001,,0)))</f>
        <v xml:space="preserve">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4">
        <f>INDEX(products!$A$1:$G$49,MATCH(orders!$D326,products!$A$1:$A$49,0),MATCH(orders!L$1,products!$A$1:$G$1,0))</f>
        <v>13.75</v>
      </c>
      <c r="M326">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 " ",(_xlfn.XLOOKUP(C327,customers!$A$1:$A$1001,customers!$C$1:$C$1001,,0)))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4">
        <f>INDEX(products!$A$1:$G$49,MATCH(orders!$D327,products!$A$1:$A$49,0),MATCH(orders!L$1,products!$A$1:$G$1,0))</f>
        <v>29.784999999999997</v>
      </c>
      <c r="M327">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 " ",(_xlfn.XLOOKUP(C328,customers!$A$1:$A$1001,customers!$C$1:$C$1001,,0)))</f>
        <v xml:space="preserve">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4">
        <f>INDEX(products!$A$1:$G$49,MATCH(orders!$D328,products!$A$1:$A$49,0),MATCH(orders!L$1,products!$A$1:$G$1,0))</f>
        <v>8.9499999999999993</v>
      </c>
      <c r="M328">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 " ",(_xlfn.XLOOKUP(C329,customers!$A$1:$A$1001,customers!$C$1:$C$1001,,0)))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4">
        <f>INDEX(products!$A$1:$G$49,MATCH(orders!$D329,products!$A$1:$A$49,0),MATCH(orders!L$1,products!$A$1:$G$1,0))</f>
        <v>8.9499999999999993</v>
      </c>
      <c r="M329">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 " ",(_xlfn.XLOOKUP(C330,customers!$A$1:$A$1001,customers!$C$1:$C$1001,,0)))</f>
        <v xml:space="preserve">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4">
        <f>INDEX(products!$A$1:$G$49,MATCH(orders!$D330,products!$A$1:$A$49,0),MATCH(orders!L$1,products!$A$1:$G$1,0))</f>
        <v>9.51</v>
      </c>
      <c r="M330">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 " ",(_xlfn.XLOOKUP(C331,customers!$A$1:$A$1001,customers!$C$1:$C$1001,,0)))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4">
        <f>INDEX(products!$A$1:$G$49,MATCH(orders!$D331,products!$A$1:$A$49,0),MATCH(orders!L$1,products!$A$1:$G$1,0))</f>
        <v>5.3699999999999992</v>
      </c>
      <c r="M331">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 " ",(_xlfn.XLOOKUP(C332,customers!$A$1:$A$1001,customers!$C$1:$C$1001,,0)))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4">
        <f>INDEX(products!$A$1:$G$49,MATCH(orders!$D332,products!$A$1:$A$49,0),MATCH(orders!L$1,products!$A$1:$G$1,0))</f>
        <v>5.3699999999999992</v>
      </c>
      <c r="M332">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 " ",(_xlfn.XLOOKUP(C333,customers!$A$1:$A$1001,customers!$C$1:$C$1001,,0)))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4">
        <f>INDEX(products!$A$1:$G$49,MATCH(orders!$D333,products!$A$1:$A$49,0),MATCH(orders!L$1,products!$A$1:$G$1,0))</f>
        <v>22.884999999999998</v>
      </c>
      <c r="M333">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 " ",(_xlfn.XLOOKUP(C334,customers!$A$1:$A$1001,customers!$C$1:$C$1001,,0)))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4">
        <f>INDEX(products!$A$1:$G$49,MATCH(orders!$D334,products!$A$1:$A$49,0),MATCH(orders!L$1,products!$A$1:$G$1,0))</f>
        <v>5.97</v>
      </c>
      <c r="M334">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 " ",(_xlfn.XLOOKUP(C335,customers!$A$1:$A$1001,customers!$C$1:$C$1001,,0)))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4">
        <f>INDEX(products!$A$1:$G$49,MATCH(orders!$D335,products!$A$1:$A$49,0),MATCH(orders!L$1,products!$A$1:$G$1,0))</f>
        <v>5.97</v>
      </c>
      <c r="M33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 " ",(_xlfn.XLOOKUP(C336,customers!$A$1:$A$1001,customers!$C$1:$C$1001,,0)))</f>
        <v xml:space="preserve">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4">
        <f>INDEX(products!$A$1:$G$49,MATCH(orders!$D336,products!$A$1:$A$49,0),MATCH(orders!L$1,products!$A$1:$G$1,0))</f>
        <v>11.95</v>
      </c>
      <c r="M336">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 " ",(_xlfn.XLOOKUP(C337,customers!$A$1:$A$1001,customers!$C$1:$C$1001,,0)))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4">
        <f>INDEX(products!$A$1:$G$49,MATCH(orders!$D337,products!$A$1:$A$49,0),MATCH(orders!L$1,products!$A$1:$G$1,0))</f>
        <v>4.7549999999999999</v>
      </c>
      <c r="M337">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 " ",(_xlfn.XLOOKUP(C338,customers!$A$1:$A$1001,customers!$C$1:$C$1001,,0)))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4">
        <f>INDEX(products!$A$1:$G$49,MATCH(orders!$D338,products!$A$1:$A$49,0),MATCH(orders!L$1,products!$A$1:$G$1,0))</f>
        <v>11.25</v>
      </c>
      <c r="M338">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 " ",(_xlfn.XLOOKUP(C339,customers!$A$1:$A$1001,customers!$C$1:$C$1001,,0)))</f>
        <v xml:space="preserve">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4">
        <f>INDEX(products!$A$1:$G$49,MATCH(orders!$D339,products!$A$1:$A$49,0),MATCH(orders!L$1,products!$A$1:$G$1,0))</f>
        <v>27.945</v>
      </c>
      <c r="M339">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 " ",(_xlfn.XLOOKUP(C340,customers!$A$1:$A$1001,customers!$C$1:$C$1001,,0)))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4">
        <f>INDEX(products!$A$1:$G$49,MATCH(orders!$D340,products!$A$1:$A$49,0),MATCH(orders!L$1,products!$A$1:$G$1,0))</f>
        <v>14.85</v>
      </c>
      <c r="M340">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 " ",(_xlfn.XLOOKUP(C341,customers!$A$1:$A$1001,customers!$C$1:$C$1001,,0)))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4">
        <f>INDEX(products!$A$1:$G$49,MATCH(orders!$D341,products!$A$1:$A$49,0),MATCH(orders!L$1,products!$A$1:$G$1,0))</f>
        <v>3.645</v>
      </c>
      <c r="M341">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 " ",(_xlfn.XLOOKUP(C342,customers!$A$1:$A$1001,customers!$C$1:$C$1001,,0)))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4">
        <f>INDEX(products!$A$1:$G$49,MATCH(orders!$D342,products!$A$1:$A$49,0),MATCH(orders!L$1,products!$A$1:$G$1,0))</f>
        <v>7.29</v>
      </c>
      <c r="M342">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 " ",(_xlfn.XLOOKUP(C343,customers!$A$1:$A$1001,customers!$C$1:$C$1001,,0)))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4">
        <f>INDEX(products!$A$1:$G$49,MATCH(orders!$D343,products!$A$1:$A$49,0),MATCH(orders!L$1,products!$A$1:$G$1,0))</f>
        <v>8.91</v>
      </c>
      <c r="M343">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 " ",(_xlfn.XLOOKUP(C344,customers!$A$1:$A$1001,customers!$C$1:$C$1001,,0)))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4">
        <f>INDEX(products!$A$1:$G$49,MATCH(orders!$D344,products!$A$1:$A$49,0),MATCH(orders!L$1,products!$A$1:$G$1,0))</f>
        <v>7.77</v>
      </c>
      <c r="M344">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 " ",(_xlfn.XLOOKUP(C345,customers!$A$1:$A$1001,customers!$C$1:$C$1001,,0)))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4">
        <f>INDEX(products!$A$1:$G$49,MATCH(orders!$D345,products!$A$1:$A$49,0),MATCH(orders!L$1,products!$A$1:$G$1,0))</f>
        <v>5.3699999999999992</v>
      </c>
      <c r="M34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 " ",(_xlfn.XLOOKUP(C346,customers!$A$1:$A$1001,customers!$C$1:$C$1001,,0)))</f>
        <v xml:space="preserve">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4">
        <f>INDEX(products!$A$1:$G$49,MATCH(orders!$D346,products!$A$1:$A$49,0),MATCH(orders!L$1,products!$A$1:$G$1,0))</f>
        <v>9.9499999999999993</v>
      </c>
      <c r="M346">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 " ",(_xlfn.XLOOKUP(C347,customers!$A$1:$A$1001,customers!$C$1:$C$1001,,0)))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4">
        <f>INDEX(products!$A$1:$G$49,MATCH(orders!$D347,products!$A$1:$A$49,0),MATCH(orders!L$1,products!$A$1:$G$1,0))</f>
        <v>11.95</v>
      </c>
      <c r="M347">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 " ",(_xlfn.XLOOKUP(C348,customers!$A$1:$A$1001,customers!$C$1:$C$1001,,0)))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4">
        <f>INDEX(products!$A$1:$G$49,MATCH(orders!$D348,products!$A$1:$A$49,0),MATCH(orders!L$1,products!$A$1:$G$1,0))</f>
        <v>7.77</v>
      </c>
      <c r="M348">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 " ",(_xlfn.XLOOKUP(C349,customers!$A$1:$A$1001,customers!$C$1:$C$1001,,0)))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4">
        <f>INDEX(products!$A$1:$G$49,MATCH(orders!$D349,products!$A$1:$A$49,0),MATCH(orders!L$1,products!$A$1:$G$1,0))</f>
        <v>14.55</v>
      </c>
      <c r="M349">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 " ",(_xlfn.XLOOKUP(C350,customers!$A$1:$A$1001,customers!$C$1:$C$1001,,0)))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4">
        <f>INDEX(products!$A$1:$G$49,MATCH(orders!$D350,products!$A$1:$A$49,0),MATCH(orders!L$1,products!$A$1:$G$1,0))</f>
        <v>34.154999999999994</v>
      </c>
      <c r="M350">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 " ",(_xlfn.XLOOKUP(C351,customers!$A$1:$A$1001,customers!$C$1:$C$1001,,0)))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4">
        <f>INDEX(products!$A$1:$G$49,MATCH(orders!$D351,products!$A$1:$A$49,0),MATCH(orders!L$1,products!$A$1:$G$1,0))</f>
        <v>3.5849999999999995</v>
      </c>
      <c r="M351">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 " ",(_xlfn.XLOOKUP(C352,customers!$A$1:$A$1001,customers!$C$1:$C$1001,,0)))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4">
        <f>INDEX(products!$A$1:$G$49,MATCH(orders!$D352,products!$A$1:$A$49,0),MATCH(orders!L$1,products!$A$1:$G$1,0))</f>
        <v>5.97</v>
      </c>
      <c r="M352">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 " ",(_xlfn.XLOOKUP(C353,customers!$A$1:$A$1001,customers!$C$1:$C$1001,,0)))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4">
        <f>INDEX(products!$A$1:$G$49,MATCH(orders!$D353,products!$A$1:$A$49,0),MATCH(orders!L$1,products!$A$1:$G$1,0))</f>
        <v>11.25</v>
      </c>
      <c r="M353">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 " ",(_xlfn.XLOOKUP(C354,customers!$A$1:$A$1001,customers!$C$1:$C$1001,,0)))</f>
        <v xml:space="preserve">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4">
        <f>INDEX(products!$A$1:$G$49,MATCH(orders!$D354,products!$A$1:$A$49,0),MATCH(orders!L$1,products!$A$1:$G$1,0))</f>
        <v>7.29</v>
      </c>
      <c r="M354">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 " ",(_xlfn.XLOOKUP(C355,customers!$A$1:$A$1001,customers!$C$1:$C$1001,,0)))</f>
        <v xml:space="preserve">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4">
        <f>INDEX(products!$A$1:$G$49,MATCH(orders!$D355,products!$A$1:$A$49,0),MATCH(orders!L$1,products!$A$1:$G$1,0))</f>
        <v>6.75</v>
      </c>
      <c r="M35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 " ",(_xlfn.XLOOKUP(C356,customers!$A$1:$A$1001,customers!$C$1:$C$1001,,0)))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4">
        <f>INDEX(products!$A$1:$G$49,MATCH(orders!$D356,products!$A$1:$A$49,0),MATCH(orders!L$1,products!$A$1:$G$1,0))</f>
        <v>25.874999999999996</v>
      </c>
      <c r="M356">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 " ",(_xlfn.XLOOKUP(C357,customers!$A$1:$A$1001,customers!$C$1:$C$1001,,0)))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4">
        <f>INDEX(products!$A$1:$G$49,MATCH(orders!$D357,products!$A$1:$A$49,0),MATCH(orders!L$1,products!$A$1:$G$1,0))</f>
        <v>22.884999999999998</v>
      </c>
      <c r="M357">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 " ",(_xlfn.XLOOKUP(C358,customers!$A$1:$A$1001,customers!$C$1:$C$1001,,0)))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4">
        <f>INDEX(products!$A$1:$G$49,MATCH(orders!$D358,products!$A$1:$A$49,0),MATCH(orders!L$1,products!$A$1:$G$1,0))</f>
        <v>12.95</v>
      </c>
      <c r="M358">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 " ",(_xlfn.XLOOKUP(C359,customers!$A$1:$A$1001,customers!$C$1:$C$1001,,0)))</f>
        <v xml:space="preserve">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4">
        <f>INDEX(products!$A$1:$G$49,MATCH(orders!$D359,products!$A$1:$A$49,0),MATCH(orders!L$1,products!$A$1:$G$1,0))</f>
        <v>25.874999999999996</v>
      </c>
      <c r="M359">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 " ",(_xlfn.XLOOKUP(C360,customers!$A$1:$A$1001,customers!$C$1:$C$1001,,0)))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4">
        <f>INDEX(products!$A$1:$G$49,MATCH(orders!$D360,products!$A$1:$A$49,0),MATCH(orders!L$1,products!$A$1:$G$1,0))</f>
        <v>29.784999999999997</v>
      </c>
      <c r="M360">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 " ",(_xlfn.XLOOKUP(C361,customers!$A$1:$A$1001,customers!$C$1:$C$1001,,0)))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4">
        <f>INDEX(products!$A$1:$G$49,MATCH(orders!$D361,products!$A$1:$A$49,0),MATCH(orders!L$1,products!$A$1:$G$1,0))</f>
        <v>3.5849999999999995</v>
      </c>
      <c r="M361">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 " ",(_xlfn.XLOOKUP(C362,customers!$A$1:$A$1001,customers!$C$1:$C$1001,,0)))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4">
        <f>INDEX(products!$A$1:$G$49,MATCH(orders!$D362,products!$A$1:$A$49,0),MATCH(orders!L$1,products!$A$1:$G$1,0))</f>
        <v>20.584999999999997</v>
      </c>
      <c r="M362">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 " ",(_xlfn.XLOOKUP(C363,customers!$A$1:$A$1001,customers!$C$1:$C$1001,,0)))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4">
        <f>INDEX(products!$A$1:$G$49,MATCH(orders!$D363,products!$A$1:$A$49,0),MATCH(orders!L$1,products!$A$1:$G$1,0))</f>
        <v>5.97</v>
      </c>
      <c r="M363">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 " ",(_xlfn.XLOOKUP(C364,customers!$A$1:$A$1001,customers!$C$1:$C$1001,,0)))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4">
        <f>INDEX(products!$A$1:$G$49,MATCH(orders!$D364,products!$A$1:$A$49,0),MATCH(orders!L$1,products!$A$1:$G$1,0))</f>
        <v>14.85</v>
      </c>
      <c r="M364">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 " ",(_xlfn.XLOOKUP(C365,customers!$A$1:$A$1001,customers!$C$1:$C$1001,,0)))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4">
        <f>INDEX(products!$A$1:$G$49,MATCH(orders!$D365,products!$A$1:$A$49,0),MATCH(orders!L$1,products!$A$1:$G$1,0))</f>
        <v>14.55</v>
      </c>
      <c r="M36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 " ",(_xlfn.XLOOKUP(C366,customers!$A$1:$A$1001,customers!$C$1:$C$1001,,0)))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4">
        <f>INDEX(products!$A$1:$G$49,MATCH(orders!$D366,products!$A$1:$A$49,0),MATCH(orders!L$1,products!$A$1:$G$1,0))</f>
        <v>12.15</v>
      </c>
      <c r="M366">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 " ",(_xlfn.XLOOKUP(C367,customers!$A$1:$A$1001,customers!$C$1:$C$1001,,0)))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4">
        <f>INDEX(products!$A$1:$G$49,MATCH(orders!$D367,products!$A$1:$A$49,0),MATCH(orders!L$1,products!$A$1:$G$1,0))</f>
        <v>7.77</v>
      </c>
      <c r="M367">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 " ",(_xlfn.XLOOKUP(C368,customers!$A$1:$A$1001,customers!$C$1:$C$1001,,0)))</f>
        <v xml:space="preserve">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4">
        <f>INDEX(products!$A$1:$G$49,MATCH(orders!$D368,products!$A$1:$A$49,0),MATCH(orders!L$1,products!$A$1:$G$1,0))</f>
        <v>7.29</v>
      </c>
      <c r="M368">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 " ",(_xlfn.XLOOKUP(C369,customers!$A$1:$A$1001,customers!$C$1:$C$1001,,0)))</f>
        <v xml:space="preserve">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4">
        <f>INDEX(products!$A$1:$G$49,MATCH(orders!$D369,products!$A$1:$A$49,0),MATCH(orders!L$1,products!$A$1:$G$1,0))</f>
        <v>4.3650000000000002</v>
      </c>
      <c r="M369">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 " ",(_xlfn.XLOOKUP(C370,customers!$A$1:$A$1001,customers!$C$1:$C$1001,,0)))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4">
        <f>INDEX(products!$A$1:$G$49,MATCH(orders!$D370,products!$A$1:$A$49,0),MATCH(orders!L$1,products!$A$1:$G$1,0))</f>
        <v>31.624999999999996</v>
      </c>
      <c r="M370">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 " ",(_xlfn.XLOOKUP(C371,customers!$A$1:$A$1001,customers!$C$1:$C$1001,,0)))</f>
        <v xml:space="preserve">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4">
        <f>INDEX(products!$A$1:$G$49,MATCH(orders!$D371,products!$A$1:$A$49,0),MATCH(orders!L$1,products!$A$1:$G$1,0))</f>
        <v>8.91</v>
      </c>
      <c r="M371">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 " ",(_xlfn.XLOOKUP(C372,customers!$A$1:$A$1001,customers!$C$1:$C$1001,,0)))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4">
        <f>INDEX(products!$A$1:$G$49,MATCH(orders!$D372,products!$A$1:$A$49,0),MATCH(orders!L$1,products!$A$1:$G$1,0))</f>
        <v>12.15</v>
      </c>
      <c r="M372">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 " ",(_xlfn.XLOOKUP(C373,customers!$A$1:$A$1001,customers!$C$1:$C$1001,,0)))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4">
        <f>INDEX(products!$A$1:$G$49,MATCH(orders!$D373,products!$A$1:$A$49,0),MATCH(orders!L$1,products!$A$1:$G$1,0))</f>
        <v>7.77</v>
      </c>
      <c r="M373">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 " ",(_xlfn.XLOOKUP(C374,customers!$A$1:$A$1001,customers!$C$1:$C$1001,,0)))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4">
        <f>INDEX(products!$A$1:$G$49,MATCH(orders!$D374,products!$A$1:$A$49,0),MATCH(orders!L$1,products!$A$1:$G$1,0))</f>
        <v>7.169999999999999</v>
      </c>
      <c r="M374">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 " ",(_xlfn.XLOOKUP(C375,customers!$A$1:$A$1001,customers!$C$1:$C$1001,,0)))</f>
        <v xml:space="preserve">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4">
        <f>INDEX(products!$A$1:$G$49,MATCH(orders!$D375,products!$A$1:$A$49,0),MATCH(orders!L$1,products!$A$1:$G$1,0))</f>
        <v>5.97</v>
      </c>
      <c r="M37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 " ",(_xlfn.XLOOKUP(C376,customers!$A$1:$A$1001,customers!$C$1:$C$1001,,0)))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4">
        <f>INDEX(products!$A$1:$G$49,MATCH(orders!$D376,products!$A$1:$A$49,0),MATCH(orders!L$1,products!$A$1:$G$1,0))</f>
        <v>9.51</v>
      </c>
      <c r="M376">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 " ",(_xlfn.XLOOKUP(C377,customers!$A$1:$A$1001,customers!$C$1:$C$1001,,0)))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4">
        <f>INDEX(products!$A$1:$G$49,MATCH(orders!$D377,products!$A$1:$A$49,0),MATCH(orders!L$1,products!$A$1:$G$1,0))</f>
        <v>3.375</v>
      </c>
      <c r="M377">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 " ",(_xlfn.XLOOKUP(C378,customers!$A$1:$A$1001,customers!$C$1:$C$1001,,0)))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4">
        <f>INDEX(products!$A$1:$G$49,MATCH(orders!$D378,products!$A$1:$A$49,0),MATCH(orders!L$1,products!$A$1:$G$1,0))</f>
        <v>5.97</v>
      </c>
      <c r="M378">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 " ",(_xlfn.XLOOKUP(C379,customers!$A$1:$A$1001,customers!$C$1:$C$1001,,0)))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4">
        <f>INDEX(products!$A$1:$G$49,MATCH(orders!$D379,products!$A$1:$A$49,0),MATCH(orders!L$1,products!$A$1:$G$1,0))</f>
        <v>2.6849999999999996</v>
      </c>
      <c r="M379">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 " ",(_xlfn.XLOOKUP(C380,customers!$A$1:$A$1001,customers!$C$1:$C$1001,,0)))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4">
        <f>INDEX(products!$A$1:$G$49,MATCH(orders!$D380,products!$A$1:$A$49,0),MATCH(orders!L$1,products!$A$1:$G$1,0))</f>
        <v>7.77</v>
      </c>
      <c r="M380">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 " ",(_xlfn.XLOOKUP(C381,customers!$A$1:$A$1001,customers!$C$1:$C$1001,,0)))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4">
        <f>INDEX(products!$A$1:$G$49,MATCH(orders!$D381,products!$A$1:$A$49,0),MATCH(orders!L$1,products!$A$1:$G$1,0))</f>
        <v>7.169999999999999</v>
      </c>
      <c r="M381">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 " ",(_xlfn.XLOOKUP(C382,customers!$A$1:$A$1001,customers!$C$1:$C$1001,,0)))</f>
        <v xml:space="preserve">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4">
        <f>INDEX(products!$A$1:$G$49,MATCH(orders!$D382,products!$A$1:$A$49,0),MATCH(orders!L$1,products!$A$1:$G$1,0))</f>
        <v>7.77</v>
      </c>
      <c r="M382">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 " ",(_xlfn.XLOOKUP(C383,customers!$A$1:$A$1001,customers!$C$1:$C$1001,,0)))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4">
        <f>INDEX(products!$A$1:$G$49,MATCH(orders!$D383,products!$A$1:$A$49,0),MATCH(orders!L$1,products!$A$1:$G$1,0))</f>
        <v>2.9849999999999999</v>
      </c>
      <c r="M383">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 " ",(_xlfn.XLOOKUP(C384,customers!$A$1:$A$1001,customers!$C$1:$C$1001,,0)))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4">
        <f>INDEX(products!$A$1:$G$49,MATCH(orders!$D384,products!$A$1:$A$49,0),MATCH(orders!L$1,products!$A$1:$G$1,0))</f>
        <v>7.29</v>
      </c>
      <c r="M384">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 " ",(_xlfn.XLOOKUP(C385,customers!$A$1:$A$1001,customers!$C$1:$C$1001,,0)))</f>
        <v xml:space="preserve">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4">
        <f>INDEX(products!$A$1:$G$49,MATCH(orders!$D385,products!$A$1:$A$49,0),MATCH(orders!L$1,products!$A$1:$G$1,0))</f>
        <v>8.91</v>
      </c>
      <c r="M38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 " ",(_xlfn.XLOOKUP(C386,customers!$A$1:$A$1001,customers!$C$1:$C$1001,,0)))</f>
        <v xml:space="preserve">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4">
        <f>INDEX(products!$A$1:$G$49,MATCH(orders!$D386,products!$A$1:$A$49,0),MATCH(orders!L$1,products!$A$1:$G$1,0))</f>
        <v>29.784999999999997</v>
      </c>
      <c r="M386">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 " ",(_xlfn.XLOOKUP(C387,customers!$A$1:$A$1001,customers!$C$1:$C$1001,,0)))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4">
        <f>INDEX(products!$A$1:$G$49,MATCH(orders!$D387,products!$A$1:$A$49,0),MATCH(orders!L$1,products!$A$1:$G$1,0))</f>
        <v>8.73</v>
      </c>
      <c r="M387">
        <f t="shared" ref="M387:M450" si="18">L387*E387</f>
        <v>43.650000000000006</v>
      </c>
      <c r="N387" t="str">
        <f t="shared" ref="N387:N450" si="19">IF(I387="Rob", "Robusta",IF(I387= "Exc","Excelsa",IF(I387="Ara","Arabica",IF(I387="Lib","Liberica"," "))))</f>
        <v>Liberica</v>
      </c>
      <c r="O387" t="str">
        <f t="shared" ref="O387:O450" si="20">IF(J387="M","Medium",IF(J387="L","Light", IF(J387= "D","Dark"," ")))</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 " ",(_xlfn.XLOOKUP(C388,customers!$A$1:$A$1001,customers!$C$1:$C$1001,,0)))</f>
        <v xml:space="preserve">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4">
        <f>INDEX(products!$A$1:$G$49,MATCH(orders!$D388,products!$A$1:$A$49,0),MATCH(orders!L$1,products!$A$1:$G$1,0))</f>
        <v>2.9849999999999999</v>
      </c>
      <c r="M388">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 " ",(_xlfn.XLOOKUP(C389,customers!$A$1:$A$1001,customers!$C$1:$C$1001,,0)))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4">
        <f>INDEX(products!$A$1:$G$49,MATCH(orders!$D389,products!$A$1:$A$49,0),MATCH(orders!L$1,products!$A$1:$G$1,0))</f>
        <v>14.85</v>
      </c>
      <c r="M389">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 " ",(_xlfn.XLOOKUP(C390,customers!$A$1:$A$1001,customers!$C$1:$C$1001,,0)))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4">
        <f>INDEX(products!$A$1:$G$49,MATCH(orders!$D390,products!$A$1:$A$49,0),MATCH(orders!L$1,products!$A$1:$G$1,0))</f>
        <v>3.8849999999999998</v>
      </c>
      <c r="M390">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 " ",(_xlfn.XLOOKUP(C391,customers!$A$1:$A$1001,customers!$C$1:$C$1001,,0)))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4">
        <f>INDEX(products!$A$1:$G$49,MATCH(orders!$D391,products!$A$1:$A$49,0),MATCH(orders!L$1,products!$A$1:$G$1,0))</f>
        <v>7.77</v>
      </c>
      <c r="M391">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 " ",(_xlfn.XLOOKUP(C392,customers!$A$1:$A$1001,customers!$C$1:$C$1001,,0)))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4">
        <f>INDEX(products!$A$1:$G$49,MATCH(orders!$D392,products!$A$1:$A$49,0),MATCH(orders!L$1,products!$A$1:$G$1,0))</f>
        <v>7.29</v>
      </c>
      <c r="M392">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 " ",(_xlfn.XLOOKUP(C393,customers!$A$1:$A$1001,customers!$C$1:$C$1001,,0)))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4">
        <f>INDEX(products!$A$1:$G$49,MATCH(orders!$D393,products!$A$1:$A$49,0),MATCH(orders!L$1,products!$A$1:$G$1,0))</f>
        <v>6.75</v>
      </c>
      <c r="M393">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 " ",(_xlfn.XLOOKUP(C394,customers!$A$1:$A$1001,customers!$C$1:$C$1001,,0)))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4">
        <f>INDEX(products!$A$1:$G$49,MATCH(orders!$D394,products!$A$1:$A$49,0),MATCH(orders!L$1,products!$A$1:$G$1,0))</f>
        <v>14.85</v>
      </c>
      <c r="M394">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 " ",(_xlfn.XLOOKUP(C395,customers!$A$1:$A$1001,customers!$C$1:$C$1001,,0)))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4">
        <f>INDEX(products!$A$1:$G$49,MATCH(orders!$D395,products!$A$1:$A$49,0),MATCH(orders!L$1,products!$A$1:$G$1,0))</f>
        <v>3.8849999999999998</v>
      </c>
      <c r="M39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 " ",(_xlfn.XLOOKUP(C396,customers!$A$1:$A$1001,customers!$C$1:$C$1001,,0)))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4">
        <f>INDEX(products!$A$1:$G$49,MATCH(orders!$D396,products!$A$1:$A$49,0),MATCH(orders!L$1,products!$A$1:$G$1,0))</f>
        <v>27.484999999999996</v>
      </c>
      <c r="M396">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 " ",(_xlfn.XLOOKUP(C397,customers!$A$1:$A$1001,customers!$C$1:$C$1001,,0)))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4">
        <f>INDEX(products!$A$1:$G$49,MATCH(orders!$D397,products!$A$1:$A$49,0),MATCH(orders!L$1,products!$A$1:$G$1,0))</f>
        <v>7.77</v>
      </c>
      <c r="M397">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 " ",(_xlfn.XLOOKUP(C398,customers!$A$1:$A$1001,customers!$C$1:$C$1001,,0)))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4">
        <f>INDEX(products!$A$1:$G$49,MATCH(orders!$D398,products!$A$1:$A$49,0),MATCH(orders!L$1,products!$A$1:$G$1,0))</f>
        <v>7.77</v>
      </c>
      <c r="M398">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 " ",(_xlfn.XLOOKUP(C399,customers!$A$1:$A$1001,customers!$C$1:$C$1001,,0)))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4">
        <f>INDEX(products!$A$1:$G$49,MATCH(orders!$D399,products!$A$1:$A$49,0),MATCH(orders!L$1,products!$A$1:$G$1,0))</f>
        <v>7.77</v>
      </c>
      <c r="M399">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 " ",(_xlfn.XLOOKUP(C400,customers!$A$1:$A$1001,customers!$C$1:$C$1001,,0)))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4">
        <f>INDEX(products!$A$1:$G$49,MATCH(orders!$D400,products!$A$1:$A$49,0),MATCH(orders!L$1,products!$A$1:$G$1,0))</f>
        <v>2.9849999999999999</v>
      </c>
      <c r="M400">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 " ",(_xlfn.XLOOKUP(C401,customers!$A$1:$A$1001,customers!$C$1:$C$1001,,0)))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4">
        <f>INDEX(products!$A$1:$G$49,MATCH(orders!$D401,products!$A$1:$A$49,0),MATCH(orders!L$1,products!$A$1:$G$1,0))</f>
        <v>27.945</v>
      </c>
      <c r="M401">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 " ",(_xlfn.XLOOKUP(C402,customers!$A$1:$A$1001,customers!$C$1:$C$1001,,0)))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4">
        <f>INDEX(products!$A$1:$G$49,MATCH(orders!$D402,products!$A$1:$A$49,0),MATCH(orders!L$1,products!$A$1:$G$1,0))</f>
        <v>15.85</v>
      </c>
      <c r="M402">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 " ",(_xlfn.XLOOKUP(C403,customers!$A$1:$A$1001,customers!$C$1:$C$1001,,0)))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4">
        <f>INDEX(products!$A$1:$G$49,MATCH(orders!$D403,products!$A$1:$A$49,0),MATCH(orders!L$1,products!$A$1:$G$1,0))</f>
        <v>4.3650000000000002</v>
      </c>
      <c r="M403">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 " ",(_xlfn.XLOOKUP(C404,customers!$A$1:$A$1001,customers!$C$1:$C$1001,,0)))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4">
        <f>INDEX(products!$A$1:$G$49,MATCH(orders!$D404,products!$A$1:$A$49,0),MATCH(orders!L$1,products!$A$1:$G$1,0))</f>
        <v>8.9499999999999993</v>
      </c>
      <c r="M404">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 " ",(_xlfn.XLOOKUP(C405,customers!$A$1:$A$1001,customers!$C$1:$C$1001,,0)))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4">
        <f>INDEX(products!$A$1:$G$49,MATCH(orders!$D405,products!$A$1:$A$49,0),MATCH(orders!L$1,products!$A$1:$G$1,0))</f>
        <v>4.7549999999999999</v>
      </c>
      <c r="M40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 " ",(_xlfn.XLOOKUP(C406,customers!$A$1:$A$1001,customers!$C$1:$C$1001,,0)))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4">
        <f>INDEX(products!$A$1:$G$49,MATCH(orders!$D406,products!$A$1:$A$49,0),MATCH(orders!L$1,products!$A$1:$G$1,0))</f>
        <v>9.9499999999999993</v>
      </c>
      <c r="M406">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 " ",(_xlfn.XLOOKUP(C407,customers!$A$1:$A$1001,customers!$C$1:$C$1001,,0)))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4">
        <f>INDEX(products!$A$1:$G$49,MATCH(orders!$D407,products!$A$1:$A$49,0),MATCH(orders!L$1,products!$A$1:$G$1,0))</f>
        <v>8.25</v>
      </c>
      <c r="M407">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 " ",(_xlfn.XLOOKUP(C408,customers!$A$1:$A$1001,customers!$C$1:$C$1001,,0)))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4">
        <f>INDEX(products!$A$1:$G$49,MATCH(orders!$D408,products!$A$1:$A$49,0),MATCH(orders!L$1,products!$A$1:$G$1,0))</f>
        <v>13.75</v>
      </c>
      <c r="M408">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 " ",(_xlfn.XLOOKUP(C409,customers!$A$1:$A$1001,customers!$C$1:$C$1001,,0)))</f>
        <v xml:space="preserve">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4">
        <f>INDEX(products!$A$1:$G$49,MATCH(orders!$D409,products!$A$1:$A$49,0),MATCH(orders!L$1,products!$A$1:$G$1,0))</f>
        <v>8.25</v>
      </c>
      <c r="M409">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 " ",(_xlfn.XLOOKUP(C410,customers!$A$1:$A$1001,customers!$C$1:$C$1001,,0)))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4">
        <f>INDEX(products!$A$1:$G$49,MATCH(orders!$D410,products!$A$1:$A$49,0),MATCH(orders!L$1,products!$A$1:$G$1,0))</f>
        <v>25.874999999999996</v>
      </c>
      <c r="M410">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 " ",(_xlfn.XLOOKUP(C411,customers!$A$1:$A$1001,customers!$C$1:$C$1001,,0)))</f>
        <v xml:space="preserve">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4">
        <f>INDEX(products!$A$1:$G$49,MATCH(orders!$D411,products!$A$1:$A$49,0),MATCH(orders!L$1,products!$A$1:$G$1,0))</f>
        <v>15.85</v>
      </c>
      <c r="M411">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 " ",(_xlfn.XLOOKUP(C412,customers!$A$1:$A$1001,customers!$C$1:$C$1001,,0)))</f>
        <v xml:space="preserve">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4">
        <f>INDEX(products!$A$1:$G$49,MATCH(orders!$D412,products!$A$1:$A$49,0),MATCH(orders!L$1,products!$A$1:$G$1,0))</f>
        <v>3.8849999999999998</v>
      </c>
      <c r="M412">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 " ",(_xlfn.XLOOKUP(C413,customers!$A$1:$A$1001,customers!$C$1:$C$1001,,0)))</f>
        <v xml:space="preserve">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4">
        <f>INDEX(products!$A$1:$G$49,MATCH(orders!$D413,products!$A$1:$A$49,0),MATCH(orders!L$1,products!$A$1:$G$1,0))</f>
        <v>14.55</v>
      </c>
      <c r="M413">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 " ",(_xlfn.XLOOKUP(C414,customers!$A$1:$A$1001,customers!$C$1:$C$1001,,0)))</f>
        <v xml:space="preserve">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4">
        <f>INDEX(products!$A$1:$G$49,MATCH(orders!$D414,products!$A$1:$A$49,0),MATCH(orders!L$1,products!$A$1:$G$1,0))</f>
        <v>11.25</v>
      </c>
      <c r="M414">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 " ",(_xlfn.XLOOKUP(C415,customers!$A$1:$A$1001,customers!$C$1:$C$1001,,0)))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4">
        <f>INDEX(products!$A$1:$G$49,MATCH(orders!$D415,products!$A$1:$A$49,0),MATCH(orders!L$1,products!$A$1:$G$1,0))</f>
        <v>36.454999999999998</v>
      </c>
      <c r="M41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 " ",(_xlfn.XLOOKUP(C416,customers!$A$1:$A$1001,customers!$C$1:$C$1001,,0)))</f>
        <v xml:space="preserve">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4">
        <f>INDEX(products!$A$1:$G$49,MATCH(orders!$D416,products!$A$1:$A$49,0),MATCH(orders!L$1,products!$A$1:$G$1,0))</f>
        <v>3.5849999999999995</v>
      </c>
      <c r="M416">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 " ",(_xlfn.XLOOKUP(C417,customers!$A$1:$A$1001,customers!$C$1:$C$1001,,0)))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4">
        <f>INDEX(products!$A$1:$G$49,MATCH(orders!$D417,products!$A$1:$A$49,0),MATCH(orders!L$1,products!$A$1:$G$1,0))</f>
        <v>2.9849999999999999</v>
      </c>
      <c r="M417">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 " ",(_xlfn.XLOOKUP(C418,customers!$A$1:$A$1001,customers!$C$1:$C$1001,,0)))</f>
        <v xml:space="preserve">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4">
        <f>INDEX(products!$A$1:$G$49,MATCH(orders!$D418,products!$A$1:$A$49,0),MATCH(orders!L$1,products!$A$1:$G$1,0))</f>
        <v>7.77</v>
      </c>
      <c r="M418">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 " ",(_xlfn.XLOOKUP(C419,customers!$A$1:$A$1001,customers!$C$1:$C$1001,,0)))</f>
        <v xml:space="preserve">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4">
        <f>INDEX(products!$A$1:$G$49,MATCH(orders!$D419,products!$A$1:$A$49,0),MATCH(orders!L$1,products!$A$1:$G$1,0))</f>
        <v>29.784999999999997</v>
      </c>
      <c r="M419">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 " ",(_xlfn.XLOOKUP(C420,customers!$A$1:$A$1001,customers!$C$1:$C$1001,,0)))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4">
        <f>INDEX(products!$A$1:$G$49,MATCH(orders!$D420,products!$A$1:$A$49,0),MATCH(orders!L$1,products!$A$1:$G$1,0))</f>
        <v>29.784999999999997</v>
      </c>
      <c r="M420">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 " ",(_xlfn.XLOOKUP(C421,customers!$A$1:$A$1001,customers!$C$1:$C$1001,,0)))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4">
        <f>INDEX(products!$A$1:$G$49,MATCH(orders!$D421,products!$A$1:$A$49,0),MATCH(orders!L$1,products!$A$1:$G$1,0))</f>
        <v>8.73</v>
      </c>
      <c r="M421">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 " ",(_xlfn.XLOOKUP(C422,customers!$A$1:$A$1001,customers!$C$1:$C$1001,,0)))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4">
        <f>INDEX(products!$A$1:$G$49,MATCH(orders!$D422,products!$A$1:$A$49,0),MATCH(orders!L$1,products!$A$1:$G$1,0))</f>
        <v>7.77</v>
      </c>
      <c r="M422">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 " ",(_xlfn.XLOOKUP(C423,customers!$A$1:$A$1001,customers!$C$1:$C$1001,,0)))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4">
        <f>INDEX(products!$A$1:$G$49,MATCH(orders!$D423,products!$A$1:$A$49,0),MATCH(orders!L$1,products!$A$1:$G$1,0))</f>
        <v>22.884999999999998</v>
      </c>
      <c r="M423">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 " ",(_xlfn.XLOOKUP(C424,customers!$A$1:$A$1001,customers!$C$1:$C$1001,,0)))</f>
        <v xml:space="preserve">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4">
        <f>INDEX(products!$A$1:$G$49,MATCH(orders!$D424,products!$A$1:$A$49,0),MATCH(orders!L$1,products!$A$1:$G$1,0))</f>
        <v>5.97</v>
      </c>
      <c r="M424">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 " ",(_xlfn.XLOOKUP(C425,customers!$A$1:$A$1001,customers!$C$1:$C$1001,,0)))</f>
        <v xml:space="preserve">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4">
        <f>INDEX(products!$A$1:$G$49,MATCH(orders!$D425,products!$A$1:$A$49,0),MATCH(orders!L$1,products!$A$1:$G$1,0))</f>
        <v>5.97</v>
      </c>
      <c r="M42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 " ",(_xlfn.XLOOKUP(C426,customers!$A$1:$A$1001,customers!$C$1:$C$1001,,0)))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4">
        <f>INDEX(products!$A$1:$G$49,MATCH(orders!$D426,products!$A$1:$A$49,0),MATCH(orders!L$1,products!$A$1:$G$1,0))</f>
        <v>8.91</v>
      </c>
      <c r="M426">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 " ",(_xlfn.XLOOKUP(C427,customers!$A$1:$A$1001,customers!$C$1:$C$1001,,0)))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4">
        <f>INDEX(products!$A$1:$G$49,MATCH(orders!$D427,products!$A$1:$A$49,0),MATCH(orders!L$1,products!$A$1:$G$1,0))</f>
        <v>8.9499999999999993</v>
      </c>
      <c r="M427">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 " ",(_xlfn.XLOOKUP(C428,customers!$A$1:$A$1001,customers!$C$1:$C$1001,,0)))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4">
        <f>INDEX(products!$A$1:$G$49,MATCH(orders!$D428,products!$A$1:$A$49,0),MATCH(orders!L$1,products!$A$1:$G$1,0))</f>
        <v>3.5849999999999995</v>
      </c>
      <c r="M428">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 " ",(_xlfn.XLOOKUP(C429,customers!$A$1:$A$1001,customers!$C$1:$C$1001,,0)))</f>
        <v xml:space="preserve">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4">
        <f>INDEX(products!$A$1:$G$49,MATCH(orders!$D429,products!$A$1:$A$49,0),MATCH(orders!L$1,products!$A$1:$G$1,0))</f>
        <v>25.874999999999996</v>
      </c>
      <c r="M429">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 " ",(_xlfn.XLOOKUP(C430,customers!$A$1:$A$1001,customers!$C$1:$C$1001,,0)))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4">
        <f>INDEX(products!$A$1:$G$49,MATCH(orders!$D430,products!$A$1:$A$49,0),MATCH(orders!L$1,products!$A$1:$G$1,0))</f>
        <v>11.95</v>
      </c>
      <c r="M430">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 " ",(_xlfn.XLOOKUP(C431,customers!$A$1:$A$1001,customers!$C$1:$C$1001,,0)))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4">
        <f>INDEX(products!$A$1:$G$49,MATCH(orders!$D431,products!$A$1:$A$49,0),MATCH(orders!L$1,products!$A$1:$G$1,0))</f>
        <v>12.95</v>
      </c>
      <c r="M431">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 " ",(_xlfn.XLOOKUP(C432,customers!$A$1:$A$1001,customers!$C$1:$C$1001,,0)))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4">
        <f>INDEX(products!$A$1:$G$49,MATCH(orders!$D432,products!$A$1:$A$49,0),MATCH(orders!L$1,products!$A$1:$G$1,0))</f>
        <v>2.6849999999999996</v>
      </c>
      <c r="M432">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 " ",(_xlfn.XLOOKUP(C433,customers!$A$1:$A$1001,customers!$C$1:$C$1001,,0)))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4">
        <f>INDEX(products!$A$1:$G$49,MATCH(orders!$D433,products!$A$1:$A$49,0),MATCH(orders!L$1,products!$A$1:$G$1,0))</f>
        <v>27.945</v>
      </c>
      <c r="M433">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 " ",(_xlfn.XLOOKUP(C434,customers!$A$1:$A$1001,customers!$C$1:$C$1001,,0)))</f>
        <v xml:space="preserve">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4">
        <f>INDEX(products!$A$1:$G$49,MATCH(orders!$D434,products!$A$1:$A$49,0),MATCH(orders!L$1,products!$A$1:$G$1,0))</f>
        <v>11.25</v>
      </c>
      <c r="M434">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 " ",(_xlfn.XLOOKUP(C435,customers!$A$1:$A$1001,customers!$C$1:$C$1001,,0)))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4">
        <f>INDEX(products!$A$1:$G$49,MATCH(orders!$D435,products!$A$1:$A$49,0),MATCH(orders!L$1,products!$A$1:$G$1,0))</f>
        <v>33.464999999999996</v>
      </c>
      <c r="M43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 " ",(_xlfn.XLOOKUP(C436,customers!$A$1:$A$1001,customers!$C$1:$C$1001,,0)))</f>
        <v xml:space="preserve">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4">
        <f>INDEX(products!$A$1:$G$49,MATCH(orders!$D436,products!$A$1:$A$49,0),MATCH(orders!L$1,products!$A$1:$G$1,0))</f>
        <v>11.25</v>
      </c>
      <c r="M436">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 " ",(_xlfn.XLOOKUP(C437,customers!$A$1:$A$1001,customers!$C$1:$C$1001,,0)))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4">
        <f>INDEX(products!$A$1:$G$49,MATCH(orders!$D437,products!$A$1:$A$49,0),MATCH(orders!L$1,products!$A$1:$G$1,0))</f>
        <v>8.25</v>
      </c>
      <c r="M437">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 " ",(_xlfn.XLOOKUP(C438,customers!$A$1:$A$1001,customers!$C$1:$C$1001,,0)))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4">
        <f>INDEX(products!$A$1:$G$49,MATCH(orders!$D438,products!$A$1:$A$49,0),MATCH(orders!L$1,products!$A$1:$G$1,0))</f>
        <v>4.7549999999999999</v>
      </c>
      <c r="M438">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 " ",(_xlfn.XLOOKUP(C439,customers!$A$1:$A$1001,customers!$C$1:$C$1001,,0)))</f>
        <v xml:space="preserve">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4">
        <f>INDEX(products!$A$1:$G$49,MATCH(orders!$D439,products!$A$1:$A$49,0),MATCH(orders!L$1,products!$A$1:$G$1,0))</f>
        <v>29.784999999999997</v>
      </c>
      <c r="M439">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 " ",(_xlfn.XLOOKUP(C440,customers!$A$1:$A$1001,customers!$C$1:$C$1001,,0)))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4">
        <f>INDEX(products!$A$1:$G$49,MATCH(orders!$D440,products!$A$1:$A$49,0),MATCH(orders!L$1,products!$A$1:$G$1,0))</f>
        <v>7.77</v>
      </c>
      <c r="M440">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 " ",(_xlfn.XLOOKUP(C441,customers!$A$1:$A$1001,customers!$C$1:$C$1001,,0)))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4">
        <f>INDEX(products!$A$1:$G$49,MATCH(orders!$D441,products!$A$1:$A$49,0),MATCH(orders!L$1,products!$A$1:$G$1,0))</f>
        <v>8.91</v>
      </c>
      <c r="M441">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 " ",(_xlfn.XLOOKUP(C442,customers!$A$1:$A$1001,customers!$C$1:$C$1001,,0)))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4">
        <f>INDEX(products!$A$1:$G$49,MATCH(orders!$D442,products!$A$1:$A$49,0),MATCH(orders!L$1,products!$A$1:$G$1,0))</f>
        <v>25.874999999999996</v>
      </c>
      <c r="M442">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 " ",(_xlfn.XLOOKUP(C443,customers!$A$1:$A$1001,customers!$C$1:$C$1001,,0)))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4">
        <f>INDEX(products!$A$1:$G$49,MATCH(orders!$D443,products!$A$1:$A$49,0),MATCH(orders!L$1,products!$A$1:$G$1,0))</f>
        <v>12.15</v>
      </c>
      <c r="M443">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 " ",(_xlfn.XLOOKUP(C444,customers!$A$1:$A$1001,customers!$C$1:$C$1001,,0)))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4">
        <f>INDEX(products!$A$1:$G$49,MATCH(orders!$D444,products!$A$1:$A$49,0),MATCH(orders!L$1,products!$A$1:$G$1,0))</f>
        <v>7.169999999999999</v>
      </c>
      <c r="M444">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 " ",(_xlfn.XLOOKUP(C445,customers!$A$1:$A$1001,customers!$C$1:$C$1001,,0)))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4">
        <f>INDEX(products!$A$1:$G$49,MATCH(orders!$D445,products!$A$1:$A$49,0),MATCH(orders!L$1,products!$A$1:$G$1,0))</f>
        <v>4.4550000000000001</v>
      </c>
      <c r="M44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 " ",(_xlfn.XLOOKUP(C446,customers!$A$1:$A$1001,customers!$C$1:$C$1001,,0)))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4">
        <f>INDEX(products!$A$1:$G$49,MATCH(orders!$D446,products!$A$1:$A$49,0),MATCH(orders!L$1,products!$A$1:$G$1,0))</f>
        <v>4.125</v>
      </c>
      <c r="M446">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 " ",(_xlfn.XLOOKUP(C447,customers!$A$1:$A$1001,customers!$C$1:$C$1001,,0)))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4">
        <f>INDEX(products!$A$1:$G$49,MATCH(orders!$D447,products!$A$1:$A$49,0),MATCH(orders!L$1,products!$A$1:$G$1,0))</f>
        <v>33.464999999999996</v>
      </c>
      <c r="M447">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 " ",(_xlfn.XLOOKUP(C448,customers!$A$1:$A$1001,customers!$C$1:$C$1001,,0)))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4">
        <f>INDEX(products!$A$1:$G$49,MATCH(orders!$D448,products!$A$1:$A$49,0),MATCH(orders!L$1,products!$A$1:$G$1,0))</f>
        <v>8.73</v>
      </c>
      <c r="M448">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 " ",(_xlfn.XLOOKUP(C449,customers!$A$1:$A$1001,customers!$C$1:$C$1001,,0)))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4">
        <f>INDEX(products!$A$1:$G$49,MATCH(orders!$D449,products!$A$1:$A$49,0),MATCH(orders!L$1,products!$A$1:$G$1,0))</f>
        <v>5.97</v>
      </c>
      <c r="M449">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 " ",(_xlfn.XLOOKUP(C450,customers!$A$1:$A$1001,customers!$C$1:$C$1001,,0)))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4">
        <f>INDEX(products!$A$1:$G$49,MATCH(orders!$D450,products!$A$1:$A$49,0),MATCH(orders!L$1,products!$A$1:$G$1,0))</f>
        <v>7.169999999999999</v>
      </c>
      <c r="M450">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 " ",(_xlfn.XLOOKUP(C451,customers!$A$1:$A$1001,customers!$C$1:$C$1001,,0)))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4">
        <f>INDEX(products!$A$1:$G$49,MATCH(orders!$D451,products!$A$1:$A$49,0),MATCH(orders!L$1,products!$A$1:$G$1,0))</f>
        <v>2.6849999999999996</v>
      </c>
      <c r="M451">
        <f t="shared" ref="M451:M514" si="21">L451*E451</f>
        <v>5.3699999999999992</v>
      </c>
      <c r="N451" t="str">
        <f t="shared" ref="N451:N514" si="22">IF(I451="Rob", "Robusta",IF(I451= "Exc","Excelsa",IF(I451="Ara","Arabica",IF(I451="Lib","Liberica"," "))))</f>
        <v>Robusta</v>
      </c>
      <c r="O451" t="str">
        <f t="shared" ref="O451:O514" si="23">IF(J451="M","Medium",IF(J451="L","Light", IF(J451= "D","Dark"," ")))</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 " ",(_xlfn.XLOOKUP(C452,customers!$A$1:$A$1001,customers!$C$1:$C$1001,,0)))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4">
        <f>INDEX(products!$A$1:$G$49,MATCH(orders!$D452,products!$A$1:$A$49,0),MATCH(orders!L$1,products!$A$1:$G$1,0))</f>
        <v>4.7549999999999999</v>
      </c>
      <c r="M452">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 " ",(_xlfn.XLOOKUP(C453,customers!$A$1:$A$1001,customers!$C$1:$C$1001,,0)))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4">
        <f>INDEX(products!$A$1:$G$49,MATCH(orders!$D453,products!$A$1:$A$49,0),MATCH(orders!L$1,products!$A$1:$G$1,0))</f>
        <v>20.584999999999997</v>
      </c>
      <c r="M453">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 " ",(_xlfn.XLOOKUP(C454,customers!$A$1:$A$1001,customers!$C$1:$C$1001,,0)))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4">
        <f>INDEX(products!$A$1:$G$49,MATCH(orders!$D454,products!$A$1:$A$49,0),MATCH(orders!L$1,products!$A$1:$G$1,0))</f>
        <v>3.8849999999999998</v>
      </c>
      <c r="M454">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 " ",(_xlfn.XLOOKUP(C455,customers!$A$1:$A$1001,customers!$C$1:$C$1001,,0)))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4">
        <f>INDEX(products!$A$1:$G$49,MATCH(orders!$D455,products!$A$1:$A$49,0),MATCH(orders!L$1,products!$A$1:$G$1,0))</f>
        <v>9.51</v>
      </c>
      <c r="M45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 " ",(_xlfn.XLOOKUP(C456,customers!$A$1:$A$1001,customers!$C$1:$C$1001,,0)))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4">
        <f>INDEX(products!$A$1:$G$49,MATCH(orders!$D456,products!$A$1:$A$49,0),MATCH(orders!L$1,products!$A$1:$G$1,0))</f>
        <v>20.584999999999997</v>
      </c>
      <c r="M456">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 " ",(_xlfn.XLOOKUP(C457,customers!$A$1:$A$1001,customers!$C$1:$C$1001,,0)))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4">
        <f>INDEX(products!$A$1:$G$49,MATCH(orders!$D457,products!$A$1:$A$49,0),MATCH(orders!L$1,products!$A$1:$G$1,0))</f>
        <v>4.7549999999999999</v>
      </c>
      <c r="M457">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 " ",(_xlfn.XLOOKUP(C458,customers!$A$1:$A$1001,customers!$C$1:$C$1001,,0)))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4">
        <f>INDEX(products!$A$1:$G$49,MATCH(orders!$D458,products!$A$1:$A$49,0),MATCH(orders!L$1,products!$A$1:$G$1,0))</f>
        <v>20.584999999999997</v>
      </c>
      <c r="M458">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 " ",(_xlfn.XLOOKUP(C459,customers!$A$1:$A$1001,customers!$C$1:$C$1001,,0)))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4">
        <f>INDEX(products!$A$1:$G$49,MATCH(orders!$D459,products!$A$1:$A$49,0),MATCH(orders!L$1,products!$A$1:$G$1,0))</f>
        <v>9.51</v>
      </c>
      <c r="M459">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 " ",(_xlfn.XLOOKUP(C460,customers!$A$1:$A$1001,customers!$C$1:$C$1001,,0)))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4">
        <f>INDEX(products!$A$1:$G$49,MATCH(orders!$D460,products!$A$1:$A$49,0),MATCH(orders!L$1,products!$A$1:$G$1,0))</f>
        <v>11.25</v>
      </c>
      <c r="M460">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 " ",(_xlfn.XLOOKUP(C461,customers!$A$1:$A$1001,customers!$C$1:$C$1001,,0)))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4">
        <f>INDEX(products!$A$1:$G$49,MATCH(orders!$D461,products!$A$1:$A$49,0),MATCH(orders!L$1,products!$A$1:$G$1,0))</f>
        <v>4.7549999999999999</v>
      </c>
      <c r="M461">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 " ",(_xlfn.XLOOKUP(C462,customers!$A$1:$A$1001,customers!$C$1:$C$1001,,0)))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4">
        <f>INDEX(products!$A$1:$G$49,MATCH(orders!$D462,products!$A$1:$A$49,0),MATCH(orders!L$1,products!$A$1:$G$1,0))</f>
        <v>5.3699999999999992</v>
      </c>
      <c r="M462">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 " ",(_xlfn.XLOOKUP(C463,customers!$A$1:$A$1001,customers!$C$1:$C$1001,,0)))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4">
        <f>INDEX(products!$A$1:$G$49,MATCH(orders!$D463,products!$A$1:$A$49,0),MATCH(orders!L$1,products!$A$1:$G$1,0))</f>
        <v>2.6849999999999996</v>
      </c>
      <c r="M463">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 " ",(_xlfn.XLOOKUP(C464,customers!$A$1:$A$1001,customers!$C$1:$C$1001,,0)))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4">
        <f>INDEX(products!$A$1:$G$49,MATCH(orders!$D464,products!$A$1:$A$49,0),MATCH(orders!L$1,products!$A$1:$G$1,0))</f>
        <v>9.9499999999999993</v>
      </c>
      <c r="M464">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 " ",(_xlfn.XLOOKUP(C465,customers!$A$1:$A$1001,customers!$C$1:$C$1001,,0)))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4">
        <f>INDEX(products!$A$1:$G$49,MATCH(orders!$D465,products!$A$1:$A$49,0),MATCH(orders!L$1,products!$A$1:$G$1,0))</f>
        <v>13.75</v>
      </c>
      <c r="M46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 " ",(_xlfn.XLOOKUP(C466,customers!$A$1:$A$1001,customers!$C$1:$C$1001,,0)))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4">
        <f>INDEX(products!$A$1:$G$49,MATCH(orders!$D466,products!$A$1:$A$49,0),MATCH(orders!L$1,products!$A$1:$G$1,0))</f>
        <v>29.784999999999997</v>
      </c>
      <c r="M466">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 " ",(_xlfn.XLOOKUP(C467,customers!$A$1:$A$1001,customers!$C$1:$C$1001,,0)))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4">
        <f>INDEX(products!$A$1:$G$49,MATCH(orders!$D467,products!$A$1:$A$49,0),MATCH(orders!L$1,products!$A$1:$G$1,0))</f>
        <v>20.584999999999997</v>
      </c>
      <c r="M467">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 " ",(_xlfn.XLOOKUP(C468,customers!$A$1:$A$1001,customers!$C$1:$C$1001,,0)))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4">
        <f>INDEX(products!$A$1:$G$49,MATCH(orders!$D468,products!$A$1:$A$49,0),MATCH(orders!L$1,products!$A$1:$G$1,0))</f>
        <v>2.9849999999999999</v>
      </c>
      <c r="M468">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 " ",(_xlfn.XLOOKUP(C469,customers!$A$1:$A$1001,customers!$C$1:$C$1001,,0)))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4">
        <f>INDEX(products!$A$1:$G$49,MATCH(orders!$D469,products!$A$1:$A$49,0),MATCH(orders!L$1,products!$A$1:$G$1,0))</f>
        <v>5.97</v>
      </c>
      <c r="M469">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 " ",(_xlfn.XLOOKUP(C470,customers!$A$1:$A$1001,customers!$C$1:$C$1001,,0)))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4">
        <f>INDEX(products!$A$1:$G$49,MATCH(orders!$D470,products!$A$1:$A$49,0),MATCH(orders!L$1,products!$A$1:$G$1,0))</f>
        <v>13.75</v>
      </c>
      <c r="M470">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 " ",(_xlfn.XLOOKUP(C471,customers!$A$1:$A$1001,customers!$C$1:$C$1001,,0)))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4">
        <f>INDEX(products!$A$1:$G$49,MATCH(orders!$D471,products!$A$1:$A$49,0),MATCH(orders!L$1,products!$A$1:$G$1,0))</f>
        <v>4.4550000000000001</v>
      </c>
      <c r="M471">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 " ",(_xlfn.XLOOKUP(C472,customers!$A$1:$A$1001,customers!$C$1:$C$1001,,0)))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4">
        <f>INDEX(products!$A$1:$G$49,MATCH(orders!$D472,products!$A$1:$A$49,0),MATCH(orders!L$1,products!$A$1:$G$1,0))</f>
        <v>6.75</v>
      </c>
      <c r="M472">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 " ",(_xlfn.XLOOKUP(C473,customers!$A$1:$A$1001,customers!$C$1:$C$1001,,0)))</f>
        <v xml:space="preserve">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4">
        <f>INDEX(products!$A$1:$G$49,MATCH(orders!$D473,products!$A$1:$A$49,0),MATCH(orders!L$1,products!$A$1:$G$1,0))</f>
        <v>33.464999999999996</v>
      </c>
      <c r="M473">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 " ",(_xlfn.XLOOKUP(C474,customers!$A$1:$A$1001,customers!$C$1:$C$1001,,0)))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4">
        <f>INDEX(products!$A$1:$G$49,MATCH(orders!$D474,products!$A$1:$A$49,0),MATCH(orders!L$1,products!$A$1:$G$1,0))</f>
        <v>2.9849999999999999</v>
      </c>
      <c r="M474">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 " ",(_xlfn.XLOOKUP(C475,customers!$A$1:$A$1001,customers!$C$1:$C$1001,,0)))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4">
        <f>INDEX(products!$A$1:$G$49,MATCH(orders!$D475,products!$A$1:$A$49,0),MATCH(orders!L$1,products!$A$1:$G$1,0))</f>
        <v>12.95</v>
      </c>
      <c r="M47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 " ",(_xlfn.XLOOKUP(C476,customers!$A$1:$A$1001,customers!$C$1:$C$1001,,0)))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4">
        <f>INDEX(products!$A$1:$G$49,MATCH(orders!$D476,products!$A$1:$A$49,0),MATCH(orders!L$1,products!$A$1:$G$1,0))</f>
        <v>31.624999999999996</v>
      </c>
      <c r="M476">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 " ",(_xlfn.XLOOKUP(C477,customers!$A$1:$A$1001,customers!$C$1:$C$1001,,0)))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4">
        <f>INDEX(products!$A$1:$G$49,MATCH(orders!$D477,products!$A$1:$A$49,0),MATCH(orders!L$1,products!$A$1:$G$1,0))</f>
        <v>4.3650000000000002</v>
      </c>
      <c r="M477">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 " ",(_xlfn.XLOOKUP(C478,customers!$A$1:$A$1001,customers!$C$1:$C$1001,,0)))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4">
        <f>INDEX(products!$A$1:$G$49,MATCH(orders!$D478,products!$A$1:$A$49,0),MATCH(orders!L$1,products!$A$1:$G$1,0))</f>
        <v>4.4550000000000001</v>
      </c>
      <c r="M478">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 " ",(_xlfn.XLOOKUP(C479,customers!$A$1:$A$1001,customers!$C$1:$C$1001,,0)))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4">
        <f>INDEX(products!$A$1:$G$49,MATCH(orders!$D479,products!$A$1:$A$49,0),MATCH(orders!L$1,products!$A$1:$G$1,0))</f>
        <v>4.3650000000000002</v>
      </c>
      <c r="M479">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 " ",(_xlfn.XLOOKUP(C480,customers!$A$1:$A$1001,customers!$C$1:$C$1001,,0)))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4">
        <f>INDEX(products!$A$1:$G$49,MATCH(orders!$D480,products!$A$1:$A$49,0),MATCH(orders!L$1,products!$A$1:$G$1,0))</f>
        <v>8.9499999999999993</v>
      </c>
      <c r="M480">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 " ",(_xlfn.XLOOKUP(C481,customers!$A$1:$A$1001,customers!$C$1:$C$1001,,0)))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4">
        <f>INDEX(products!$A$1:$G$49,MATCH(orders!$D481,products!$A$1:$A$49,0),MATCH(orders!L$1,products!$A$1:$G$1,0))</f>
        <v>31.624999999999996</v>
      </c>
      <c r="M481">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 " ",(_xlfn.XLOOKUP(C482,customers!$A$1:$A$1001,customers!$C$1:$C$1001,,0)))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4">
        <f>INDEX(products!$A$1:$G$49,MATCH(orders!$D482,products!$A$1:$A$49,0),MATCH(orders!L$1,products!$A$1:$G$1,0))</f>
        <v>4.125</v>
      </c>
      <c r="M482">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 " ",(_xlfn.XLOOKUP(C483,customers!$A$1:$A$1001,customers!$C$1:$C$1001,,0)))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4">
        <f>INDEX(products!$A$1:$G$49,MATCH(orders!$D483,products!$A$1:$A$49,0),MATCH(orders!L$1,products!$A$1:$G$1,0))</f>
        <v>11.95</v>
      </c>
      <c r="M483">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 " ",(_xlfn.XLOOKUP(C484,customers!$A$1:$A$1001,customers!$C$1:$C$1001,,0)))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4">
        <f>INDEX(products!$A$1:$G$49,MATCH(orders!$D484,products!$A$1:$A$49,0),MATCH(orders!L$1,products!$A$1:$G$1,0))</f>
        <v>27.945</v>
      </c>
      <c r="M484">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 " ",(_xlfn.XLOOKUP(C485,customers!$A$1:$A$1001,customers!$C$1:$C$1001,,0)))</f>
        <v xml:space="preserve">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4">
        <f>INDEX(products!$A$1:$G$49,MATCH(orders!$D485,products!$A$1:$A$49,0),MATCH(orders!L$1,products!$A$1:$G$1,0))</f>
        <v>29.784999999999997</v>
      </c>
      <c r="M48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 " ",(_xlfn.XLOOKUP(C486,customers!$A$1:$A$1001,customers!$C$1:$C$1001,,0)))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4">
        <f>INDEX(products!$A$1:$G$49,MATCH(orders!$D486,products!$A$1:$A$49,0),MATCH(orders!L$1,products!$A$1:$G$1,0))</f>
        <v>9.51</v>
      </c>
      <c r="M486">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 " ",(_xlfn.XLOOKUP(C487,customers!$A$1:$A$1001,customers!$C$1:$C$1001,,0)))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4">
        <f>INDEX(products!$A$1:$G$49,MATCH(orders!$D487,products!$A$1:$A$49,0),MATCH(orders!L$1,products!$A$1:$G$1,0))</f>
        <v>3.5849999999999995</v>
      </c>
      <c r="M487">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 " ",(_xlfn.XLOOKUP(C488,customers!$A$1:$A$1001,customers!$C$1:$C$1001,,0)))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4">
        <f>INDEX(products!$A$1:$G$49,MATCH(orders!$D488,products!$A$1:$A$49,0),MATCH(orders!L$1,products!$A$1:$G$1,0))</f>
        <v>8.73</v>
      </c>
      <c r="M488">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 " ",(_xlfn.XLOOKUP(C489,customers!$A$1:$A$1001,customers!$C$1:$C$1001,,0)))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4">
        <f>INDEX(products!$A$1:$G$49,MATCH(orders!$D489,products!$A$1:$A$49,0),MATCH(orders!L$1,products!$A$1:$G$1,0))</f>
        <v>12.15</v>
      </c>
      <c r="M489">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 " ",(_xlfn.XLOOKUP(C490,customers!$A$1:$A$1001,customers!$C$1:$C$1001,,0)))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4">
        <f>INDEX(products!$A$1:$G$49,MATCH(orders!$D490,products!$A$1:$A$49,0),MATCH(orders!L$1,products!$A$1:$G$1,0))</f>
        <v>2.9849999999999999</v>
      </c>
      <c r="M490">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 " ",(_xlfn.XLOOKUP(C491,customers!$A$1:$A$1001,customers!$C$1:$C$1001,,0)))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4">
        <f>INDEX(products!$A$1:$G$49,MATCH(orders!$D491,products!$A$1:$A$49,0),MATCH(orders!L$1,products!$A$1:$G$1,0))</f>
        <v>15.85</v>
      </c>
      <c r="M491">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 " ",(_xlfn.XLOOKUP(C492,customers!$A$1:$A$1001,customers!$C$1:$C$1001,,0)))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4">
        <f>INDEX(products!$A$1:$G$49,MATCH(orders!$D492,products!$A$1:$A$49,0),MATCH(orders!L$1,products!$A$1:$G$1,0))</f>
        <v>7.77</v>
      </c>
      <c r="M492">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 " ",(_xlfn.XLOOKUP(C493,customers!$A$1:$A$1001,customers!$C$1:$C$1001,,0)))</f>
        <v xml:space="preserve">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4">
        <f>INDEX(products!$A$1:$G$49,MATCH(orders!$D493,products!$A$1:$A$49,0),MATCH(orders!L$1,products!$A$1:$G$1,0))</f>
        <v>3.8849999999999998</v>
      </c>
      <c r="M493">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 " ",(_xlfn.XLOOKUP(C494,customers!$A$1:$A$1001,customers!$C$1:$C$1001,,0)))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4">
        <f>INDEX(products!$A$1:$G$49,MATCH(orders!$D494,products!$A$1:$A$49,0),MATCH(orders!L$1,products!$A$1:$G$1,0))</f>
        <v>4.125</v>
      </c>
      <c r="M494">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 " ",(_xlfn.XLOOKUP(C495,customers!$A$1:$A$1001,customers!$C$1:$C$1001,,0)))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4">
        <f>INDEX(products!$A$1:$G$49,MATCH(orders!$D495,products!$A$1:$A$49,0),MATCH(orders!L$1,products!$A$1:$G$1,0))</f>
        <v>5.97</v>
      </c>
      <c r="M49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 " ",(_xlfn.XLOOKUP(C496,customers!$A$1:$A$1001,customers!$C$1:$C$1001,,0)))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4">
        <f>INDEX(products!$A$1:$G$49,MATCH(orders!$D496,products!$A$1:$A$49,0),MATCH(orders!L$1,products!$A$1:$G$1,0))</f>
        <v>15.85</v>
      </c>
      <c r="M496">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 " ",(_xlfn.XLOOKUP(C497,customers!$A$1:$A$1001,customers!$C$1:$C$1001,,0)))</f>
        <v xml:space="preserve">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4">
        <f>INDEX(products!$A$1:$G$49,MATCH(orders!$D497,products!$A$1:$A$49,0),MATCH(orders!L$1,products!$A$1:$G$1,0))</f>
        <v>15.85</v>
      </c>
      <c r="M497">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 " ",(_xlfn.XLOOKUP(C498,customers!$A$1:$A$1001,customers!$C$1:$C$1001,,0)))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4">
        <f>INDEX(products!$A$1:$G$49,MATCH(orders!$D498,products!$A$1:$A$49,0),MATCH(orders!L$1,products!$A$1:$G$1,0))</f>
        <v>3.645</v>
      </c>
      <c r="M498">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 " ",(_xlfn.XLOOKUP(C499,customers!$A$1:$A$1001,customers!$C$1:$C$1001,,0)))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4">
        <f>INDEX(products!$A$1:$G$49,MATCH(orders!$D499,products!$A$1:$A$49,0),MATCH(orders!L$1,products!$A$1:$G$1,0))</f>
        <v>9.9499999999999993</v>
      </c>
      <c r="M499">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 " ",(_xlfn.XLOOKUP(C500,customers!$A$1:$A$1001,customers!$C$1:$C$1001,,0)))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4">
        <f>INDEX(products!$A$1:$G$49,MATCH(orders!$D500,products!$A$1:$A$49,0),MATCH(orders!L$1,products!$A$1:$G$1,0))</f>
        <v>9.9499999999999993</v>
      </c>
      <c r="M500">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 " ",(_xlfn.XLOOKUP(C501,customers!$A$1:$A$1001,customers!$C$1:$C$1001,,0)))</f>
        <v xml:space="preserve">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4">
        <f>INDEX(products!$A$1:$G$49,MATCH(orders!$D501,products!$A$1:$A$49,0),MATCH(orders!L$1,products!$A$1:$G$1,0))</f>
        <v>2.6849999999999996</v>
      </c>
      <c r="M501">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 " ",(_xlfn.XLOOKUP(C502,customers!$A$1:$A$1001,customers!$C$1:$C$1001,,0)))</f>
        <v xml:space="preserve">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4">
        <f>INDEX(products!$A$1:$G$49,MATCH(orders!$D502,products!$A$1:$A$49,0),MATCH(orders!L$1,products!$A$1:$G$1,0))</f>
        <v>11.95</v>
      </c>
      <c r="M502">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 " ",(_xlfn.XLOOKUP(C503,customers!$A$1:$A$1001,customers!$C$1:$C$1001,,0)))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4">
        <f>INDEX(products!$A$1:$G$49,MATCH(orders!$D503,products!$A$1:$A$49,0),MATCH(orders!L$1,products!$A$1:$G$1,0))</f>
        <v>2.9849999999999999</v>
      </c>
      <c r="M503">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 " ",(_xlfn.XLOOKUP(C504,customers!$A$1:$A$1001,customers!$C$1:$C$1001,,0)))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4">
        <f>INDEX(products!$A$1:$G$49,MATCH(orders!$D504,products!$A$1:$A$49,0),MATCH(orders!L$1,products!$A$1:$G$1,0))</f>
        <v>4.125</v>
      </c>
      <c r="M504">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 " ",(_xlfn.XLOOKUP(C505,customers!$A$1:$A$1001,customers!$C$1:$C$1001,,0)))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4">
        <f>INDEX(products!$A$1:$G$49,MATCH(orders!$D505,products!$A$1:$A$49,0),MATCH(orders!L$1,products!$A$1:$G$1,0))</f>
        <v>12.95</v>
      </c>
      <c r="M50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 " ",(_xlfn.XLOOKUP(C506,customers!$A$1:$A$1001,customers!$C$1:$C$1001,,0)))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4">
        <f>INDEX(products!$A$1:$G$49,MATCH(orders!$D506,products!$A$1:$A$49,0),MATCH(orders!L$1,products!$A$1:$G$1,0))</f>
        <v>4.7549999999999999</v>
      </c>
      <c r="M506">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 " ",(_xlfn.XLOOKUP(C507,customers!$A$1:$A$1001,customers!$C$1:$C$1001,,0)))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4">
        <f>INDEX(products!$A$1:$G$49,MATCH(orders!$D507,products!$A$1:$A$49,0),MATCH(orders!L$1,products!$A$1:$G$1,0))</f>
        <v>4.3650000000000002</v>
      </c>
      <c r="M507">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 " ",(_xlfn.XLOOKUP(C508,customers!$A$1:$A$1001,customers!$C$1:$C$1001,,0)))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4">
        <f>INDEX(products!$A$1:$G$49,MATCH(orders!$D508,products!$A$1:$A$49,0),MATCH(orders!L$1,products!$A$1:$G$1,0))</f>
        <v>12.95</v>
      </c>
      <c r="M508">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 " ",(_xlfn.XLOOKUP(C509,customers!$A$1:$A$1001,customers!$C$1:$C$1001,,0)))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4">
        <f>INDEX(products!$A$1:$G$49,MATCH(orders!$D509,products!$A$1:$A$49,0),MATCH(orders!L$1,products!$A$1:$G$1,0))</f>
        <v>29.784999999999997</v>
      </c>
      <c r="M509">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 " ",(_xlfn.XLOOKUP(C510,customers!$A$1:$A$1001,customers!$C$1:$C$1001,,0)))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4">
        <f>INDEX(products!$A$1:$G$49,MATCH(orders!$D510,products!$A$1:$A$49,0),MATCH(orders!L$1,products!$A$1:$G$1,0))</f>
        <v>7.77</v>
      </c>
      <c r="M510">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 " ",(_xlfn.XLOOKUP(C511,customers!$A$1:$A$1001,customers!$C$1:$C$1001,,0)))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4">
        <f>INDEX(products!$A$1:$G$49,MATCH(orders!$D511,products!$A$1:$A$49,0),MATCH(orders!L$1,products!$A$1:$G$1,0))</f>
        <v>9.9499999999999993</v>
      </c>
      <c r="M511">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 " ",(_xlfn.XLOOKUP(C512,customers!$A$1:$A$1001,customers!$C$1:$C$1001,,0)))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4">
        <f>INDEX(products!$A$1:$G$49,MATCH(orders!$D512,products!$A$1:$A$49,0),MATCH(orders!L$1,products!$A$1:$G$1,0))</f>
        <v>3.5849999999999995</v>
      </c>
      <c r="M512">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 " ",(_xlfn.XLOOKUP(C513,customers!$A$1:$A$1001,customers!$C$1:$C$1001,,0)))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4">
        <f>INDEX(products!$A$1:$G$49,MATCH(orders!$D513,products!$A$1:$A$49,0),MATCH(orders!L$1,products!$A$1:$G$1,0))</f>
        <v>3.375</v>
      </c>
      <c r="M513">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 " ",(_xlfn.XLOOKUP(C514,customers!$A$1:$A$1001,customers!$C$1:$C$1001,,0)))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4">
        <f>INDEX(products!$A$1:$G$49,MATCH(orders!$D514,products!$A$1:$A$49,0),MATCH(orders!L$1,products!$A$1:$G$1,0))</f>
        <v>15.85</v>
      </c>
      <c r="M514">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 " ",(_xlfn.XLOOKUP(C515,customers!$A$1:$A$1001,customers!$C$1:$C$1001,,0)))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4">
        <f>INDEX(products!$A$1:$G$49,MATCH(orders!$D515,products!$A$1:$A$49,0),MATCH(orders!L$1,products!$A$1:$G$1,0))</f>
        <v>15.85</v>
      </c>
      <c r="M515">
        <f t="shared" ref="M515:M578" si="24">L515*E515</f>
        <v>79.25</v>
      </c>
      <c r="N515" t="str">
        <f t="shared" ref="N515:N578" si="25">IF(I515="Rob", "Robusta",IF(I515= "Exc","Excelsa",IF(I515="Ara","Arabica",IF(I515="Lib","Liberica"," "))))</f>
        <v>Liberica</v>
      </c>
      <c r="O515" t="str">
        <f t="shared" ref="O515:O578" si="26">IF(J515="M","Medium",IF(J515="L","Light", IF(J515= "D","Dark"," ")))</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 " ",(_xlfn.XLOOKUP(C516,customers!$A$1:$A$1001,customers!$C$1:$C$1001,,0)))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4">
        <f>INDEX(products!$A$1:$G$49,MATCH(orders!$D516,products!$A$1:$A$49,0),MATCH(orders!L$1,products!$A$1:$G$1,0))</f>
        <v>4.3650000000000002</v>
      </c>
      <c r="M516">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 " ",(_xlfn.XLOOKUP(C517,customers!$A$1:$A$1001,customers!$C$1:$C$1001,,0)))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4">
        <f>INDEX(products!$A$1:$G$49,MATCH(orders!$D517,products!$A$1:$A$49,0),MATCH(orders!L$1,products!$A$1:$G$1,0))</f>
        <v>7.169999999999999</v>
      </c>
      <c r="M517">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 " ",(_xlfn.XLOOKUP(C518,customers!$A$1:$A$1001,customers!$C$1:$C$1001,,0)))</f>
        <v xml:space="preserve">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4">
        <f>INDEX(products!$A$1:$G$49,MATCH(orders!$D518,products!$A$1:$A$49,0),MATCH(orders!L$1,products!$A$1:$G$1,0))</f>
        <v>20.584999999999997</v>
      </c>
      <c r="M518">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 " ",(_xlfn.XLOOKUP(C519,customers!$A$1:$A$1001,customers!$C$1:$C$1001,,0)))</f>
        <v xml:space="preserve">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4">
        <f>INDEX(products!$A$1:$G$49,MATCH(orders!$D519,products!$A$1:$A$49,0),MATCH(orders!L$1,products!$A$1:$G$1,0))</f>
        <v>3.8849999999999998</v>
      </c>
      <c r="M519">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 " ",(_xlfn.XLOOKUP(C520,customers!$A$1:$A$1001,customers!$C$1:$C$1001,,0)))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4">
        <f>INDEX(products!$A$1:$G$49,MATCH(orders!$D520,products!$A$1:$A$49,0),MATCH(orders!L$1,products!$A$1:$G$1,0))</f>
        <v>27.945</v>
      </c>
      <c r="M520">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 " ",(_xlfn.XLOOKUP(C521,customers!$A$1:$A$1001,customers!$C$1:$C$1001,,0)))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4">
        <f>INDEX(products!$A$1:$G$49,MATCH(orders!$D521,products!$A$1:$A$49,0),MATCH(orders!L$1,products!$A$1:$G$1,0))</f>
        <v>5.97</v>
      </c>
      <c r="M521">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 " ",(_xlfn.XLOOKUP(C522,customers!$A$1:$A$1001,customers!$C$1:$C$1001,,0)))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4">
        <f>INDEX(products!$A$1:$G$49,MATCH(orders!$D522,products!$A$1:$A$49,0),MATCH(orders!L$1,products!$A$1:$G$1,0))</f>
        <v>3.8849999999999998</v>
      </c>
      <c r="M522">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 " ",(_xlfn.XLOOKUP(C523,customers!$A$1:$A$1001,customers!$C$1:$C$1001,,0)))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4">
        <f>INDEX(products!$A$1:$G$49,MATCH(orders!$D523,products!$A$1:$A$49,0),MATCH(orders!L$1,products!$A$1:$G$1,0))</f>
        <v>9.9499999999999993</v>
      </c>
      <c r="M523">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 " ",(_xlfn.XLOOKUP(C524,customers!$A$1:$A$1001,customers!$C$1:$C$1001,,0)))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4">
        <f>INDEX(products!$A$1:$G$49,MATCH(orders!$D524,products!$A$1:$A$49,0),MATCH(orders!L$1,products!$A$1:$G$1,0))</f>
        <v>5.97</v>
      </c>
      <c r="M524">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 " ",(_xlfn.XLOOKUP(C525,customers!$A$1:$A$1001,customers!$C$1:$C$1001,,0)))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4">
        <f>INDEX(products!$A$1:$G$49,MATCH(orders!$D525,products!$A$1:$A$49,0),MATCH(orders!L$1,products!$A$1:$G$1,0))</f>
        <v>29.784999999999997</v>
      </c>
      <c r="M52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 " ",(_xlfn.XLOOKUP(C526,customers!$A$1:$A$1001,customers!$C$1:$C$1001,,0)))</f>
        <v xml:space="preserve">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4">
        <f>INDEX(products!$A$1:$G$49,MATCH(orders!$D526,products!$A$1:$A$49,0),MATCH(orders!L$1,products!$A$1:$G$1,0))</f>
        <v>36.454999999999998</v>
      </c>
      <c r="M526">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 " ",(_xlfn.XLOOKUP(C527,customers!$A$1:$A$1001,customers!$C$1:$C$1001,,0)))</f>
        <v xml:space="preserve">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4">
        <f>INDEX(products!$A$1:$G$49,MATCH(orders!$D527,products!$A$1:$A$49,0),MATCH(orders!L$1,products!$A$1:$G$1,0))</f>
        <v>2.6849999999999996</v>
      </c>
      <c r="M527">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 " ",(_xlfn.XLOOKUP(C528,customers!$A$1:$A$1001,customers!$C$1:$C$1001,,0)))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4">
        <f>INDEX(products!$A$1:$G$49,MATCH(orders!$D528,products!$A$1:$A$49,0),MATCH(orders!L$1,products!$A$1:$G$1,0))</f>
        <v>31.624999999999996</v>
      </c>
      <c r="M528">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 " ",(_xlfn.XLOOKUP(C529,customers!$A$1:$A$1001,customers!$C$1:$C$1001,,0)))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4">
        <f>INDEX(products!$A$1:$G$49,MATCH(orders!$D529,products!$A$1:$A$49,0),MATCH(orders!L$1,products!$A$1:$G$1,0))</f>
        <v>8.25</v>
      </c>
      <c r="M529">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 " ",(_xlfn.XLOOKUP(C530,customers!$A$1:$A$1001,customers!$C$1:$C$1001,,0)))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4">
        <f>INDEX(products!$A$1:$G$49,MATCH(orders!$D530,products!$A$1:$A$49,0),MATCH(orders!L$1,products!$A$1:$G$1,0))</f>
        <v>8.91</v>
      </c>
      <c r="M530">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 " ",(_xlfn.XLOOKUP(C531,customers!$A$1:$A$1001,customers!$C$1:$C$1001,,0)))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4">
        <f>INDEX(products!$A$1:$G$49,MATCH(orders!$D531,products!$A$1:$A$49,0),MATCH(orders!L$1,products!$A$1:$G$1,0))</f>
        <v>9.9499999999999993</v>
      </c>
      <c r="M531">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 " ",(_xlfn.XLOOKUP(C532,customers!$A$1:$A$1001,customers!$C$1:$C$1001,,0)))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4">
        <f>INDEX(products!$A$1:$G$49,MATCH(orders!$D532,products!$A$1:$A$49,0),MATCH(orders!L$1,products!$A$1:$G$1,0))</f>
        <v>9.9499999999999993</v>
      </c>
      <c r="M532">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 " ",(_xlfn.XLOOKUP(C533,customers!$A$1:$A$1001,customers!$C$1:$C$1001,,0)))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4">
        <f>INDEX(products!$A$1:$G$49,MATCH(orders!$D533,products!$A$1:$A$49,0),MATCH(orders!L$1,products!$A$1:$G$1,0))</f>
        <v>8.9499999999999993</v>
      </c>
      <c r="M533">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 " ",(_xlfn.XLOOKUP(C534,customers!$A$1:$A$1001,customers!$C$1:$C$1001,,0)))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4">
        <f>INDEX(products!$A$1:$G$49,MATCH(orders!$D534,products!$A$1:$A$49,0),MATCH(orders!L$1,products!$A$1:$G$1,0))</f>
        <v>8.25</v>
      </c>
      <c r="M534">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 " ",(_xlfn.XLOOKUP(C535,customers!$A$1:$A$1001,customers!$C$1:$C$1001,,0)))</f>
        <v xml:space="preserve">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4">
        <f>INDEX(products!$A$1:$G$49,MATCH(orders!$D535,products!$A$1:$A$49,0),MATCH(orders!L$1,products!$A$1:$G$1,0))</f>
        <v>5.3699999999999992</v>
      </c>
      <c r="M53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 " ",(_xlfn.XLOOKUP(C536,customers!$A$1:$A$1001,customers!$C$1:$C$1001,,0)))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4">
        <f>INDEX(products!$A$1:$G$49,MATCH(orders!$D536,products!$A$1:$A$49,0),MATCH(orders!L$1,products!$A$1:$G$1,0))</f>
        <v>22.884999999999998</v>
      </c>
      <c r="M536">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 " ",(_xlfn.XLOOKUP(C537,customers!$A$1:$A$1001,customers!$C$1:$C$1001,,0)))</f>
        <v xml:space="preserve">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4">
        <f>INDEX(products!$A$1:$G$49,MATCH(orders!$D537,products!$A$1:$A$49,0),MATCH(orders!L$1,products!$A$1:$G$1,0))</f>
        <v>4.7549999999999999</v>
      </c>
      <c r="M537">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 " ",(_xlfn.XLOOKUP(C538,customers!$A$1:$A$1001,customers!$C$1:$C$1001,,0)))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4">
        <f>INDEX(products!$A$1:$G$49,MATCH(orders!$D538,products!$A$1:$A$49,0),MATCH(orders!L$1,products!$A$1:$G$1,0))</f>
        <v>2.6849999999999996</v>
      </c>
      <c r="M538">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 " ",(_xlfn.XLOOKUP(C539,customers!$A$1:$A$1001,customers!$C$1:$C$1001,,0)))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4">
        <f>INDEX(products!$A$1:$G$49,MATCH(orders!$D539,products!$A$1:$A$49,0),MATCH(orders!L$1,products!$A$1:$G$1,0))</f>
        <v>27.945</v>
      </c>
      <c r="M539">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 " ",(_xlfn.XLOOKUP(C540,customers!$A$1:$A$1001,customers!$C$1:$C$1001,,0)))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4">
        <f>INDEX(products!$A$1:$G$49,MATCH(orders!$D540,products!$A$1:$A$49,0),MATCH(orders!L$1,products!$A$1:$G$1,0))</f>
        <v>2.6849999999999996</v>
      </c>
      <c r="M540">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 " ",(_xlfn.XLOOKUP(C541,customers!$A$1:$A$1001,customers!$C$1:$C$1001,,0)))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4">
        <f>INDEX(products!$A$1:$G$49,MATCH(orders!$D541,products!$A$1:$A$49,0),MATCH(orders!L$1,products!$A$1:$G$1,0))</f>
        <v>5.3699999999999992</v>
      </c>
      <c r="M541">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 " ",(_xlfn.XLOOKUP(C542,customers!$A$1:$A$1001,customers!$C$1:$C$1001,,0)))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4">
        <f>INDEX(products!$A$1:$G$49,MATCH(orders!$D542,products!$A$1:$A$49,0),MATCH(orders!L$1,products!$A$1:$G$1,0))</f>
        <v>15.85</v>
      </c>
      <c r="M542">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 " ",(_xlfn.XLOOKUP(C543,customers!$A$1:$A$1001,customers!$C$1:$C$1001,,0)))</f>
        <v xml:space="preserve">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4">
        <f>INDEX(products!$A$1:$G$49,MATCH(orders!$D543,products!$A$1:$A$49,0),MATCH(orders!L$1,products!$A$1:$G$1,0))</f>
        <v>22.884999999999998</v>
      </c>
      <c r="M543">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 " ",(_xlfn.XLOOKUP(C544,customers!$A$1:$A$1001,customers!$C$1:$C$1001,,0)))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4">
        <f>INDEX(products!$A$1:$G$49,MATCH(orders!$D544,products!$A$1:$A$49,0),MATCH(orders!L$1,products!$A$1:$G$1,0))</f>
        <v>25.874999999999996</v>
      </c>
      <c r="M544">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 " ",(_xlfn.XLOOKUP(C545,customers!$A$1:$A$1001,customers!$C$1:$C$1001,,0)))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4">
        <f>INDEX(products!$A$1:$G$49,MATCH(orders!$D545,products!$A$1:$A$49,0),MATCH(orders!L$1,products!$A$1:$G$1,0))</f>
        <v>27.484999999999996</v>
      </c>
      <c r="M54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 " ",(_xlfn.XLOOKUP(C546,customers!$A$1:$A$1001,customers!$C$1:$C$1001,,0)))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4">
        <f>INDEX(products!$A$1:$G$49,MATCH(orders!$D546,products!$A$1:$A$49,0),MATCH(orders!L$1,products!$A$1:$G$1,0))</f>
        <v>7.77</v>
      </c>
      <c r="M546">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 " ",(_xlfn.XLOOKUP(C547,customers!$A$1:$A$1001,customers!$C$1:$C$1001,,0)))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4">
        <f>INDEX(products!$A$1:$G$49,MATCH(orders!$D547,products!$A$1:$A$49,0),MATCH(orders!L$1,products!$A$1:$G$1,0))</f>
        <v>3.8849999999999998</v>
      </c>
      <c r="M547">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 " ",(_xlfn.XLOOKUP(C548,customers!$A$1:$A$1001,customers!$C$1:$C$1001,,0)))</f>
        <v xml:space="preserve">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4">
        <f>INDEX(products!$A$1:$G$49,MATCH(orders!$D548,products!$A$1:$A$49,0),MATCH(orders!L$1,products!$A$1:$G$1,0))</f>
        <v>27.945</v>
      </c>
      <c r="M548">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 " ",(_xlfn.XLOOKUP(C549,customers!$A$1:$A$1001,customers!$C$1:$C$1001,,0)))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4">
        <f>INDEX(products!$A$1:$G$49,MATCH(orders!$D549,products!$A$1:$A$49,0),MATCH(orders!L$1,products!$A$1:$G$1,0))</f>
        <v>3.5849999999999995</v>
      </c>
      <c r="M549">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 " ",(_xlfn.XLOOKUP(C550,customers!$A$1:$A$1001,customers!$C$1:$C$1001,,0)))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4">
        <f>INDEX(products!$A$1:$G$49,MATCH(orders!$D550,products!$A$1:$A$49,0),MATCH(orders!L$1,products!$A$1:$G$1,0))</f>
        <v>4.4550000000000001</v>
      </c>
      <c r="M550">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 " ",(_xlfn.XLOOKUP(C551,customers!$A$1:$A$1001,customers!$C$1:$C$1001,,0)))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4">
        <f>INDEX(products!$A$1:$G$49,MATCH(orders!$D551,products!$A$1:$A$49,0),MATCH(orders!L$1,products!$A$1:$G$1,0))</f>
        <v>4.4550000000000001</v>
      </c>
      <c r="M551">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 " ",(_xlfn.XLOOKUP(C552,customers!$A$1:$A$1001,customers!$C$1:$C$1001,,0)))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4">
        <f>INDEX(products!$A$1:$G$49,MATCH(orders!$D552,products!$A$1:$A$49,0),MATCH(orders!L$1,products!$A$1:$G$1,0))</f>
        <v>3.8849999999999998</v>
      </c>
      <c r="M552">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 " ",(_xlfn.XLOOKUP(C553,customers!$A$1:$A$1001,customers!$C$1:$C$1001,,0)))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4">
        <f>INDEX(products!$A$1:$G$49,MATCH(orders!$D553,products!$A$1:$A$49,0),MATCH(orders!L$1,products!$A$1:$G$1,0))</f>
        <v>3.645</v>
      </c>
      <c r="M553">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 " ",(_xlfn.XLOOKUP(C554,customers!$A$1:$A$1001,customers!$C$1:$C$1001,,0)))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4">
        <f>INDEX(products!$A$1:$G$49,MATCH(orders!$D554,products!$A$1:$A$49,0),MATCH(orders!L$1,products!$A$1:$G$1,0))</f>
        <v>4.4550000000000001</v>
      </c>
      <c r="M554">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 " ",(_xlfn.XLOOKUP(C555,customers!$A$1:$A$1001,customers!$C$1:$C$1001,,0)))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4">
        <f>INDEX(products!$A$1:$G$49,MATCH(orders!$D555,products!$A$1:$A$49,0),MATCH(orders!L$1,products!$A$1:$G$1,0))</f>
        <v>13.75</v>
      </c>
      <c r="M55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 " ",(_xlfn.XLOOKUP(C556,customers!$A$1:$A$1001,customers!$C$1:$C$1001,,0)))</f>
        <v xml:space="preserve">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4">
        <f>INDEX(products!$A$1:$G$49,MATCH(orders!$D556,products!$A$1:$A$49,0),MATCH(orders!L$1,products!$A$1:$G$1,0))</f>
        <v>27.484999999999996</v>
      </c>
      <c r="M556">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 " ",(_xlfn.XLOOKUP(C557,customers!$A$1:$A$1001,customers!$C$1:$C$1001,,0)))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4">
        <f>INDEX(products!$A$1:$G$49,MATCH(orders!$D557,products!$A$1:$A$49,0),MATCH(orders!L$1,products!$A$1:$G$1,0))</f>
        <v>13.75</v>
      </c>
      <c r="M557">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 " ",(_xlfn.XLOOKUP(C558,customers!$A$1:$A$1001,customers!$C$1:$C$1001,,0)))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4">
        <f>INDEX(products!$A$1:$G$49,MATCH(orders!$D558,products!$A$1:$A$49,0),MATCH(orders!L$1,products!$A$1:$G$1,0))</f>
        <v>4.3650000000000002</v>
      </c>
      <c r="M558">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 " ",(_xlfn.XLOOKUP(C559,customers!$A$1:$A$1001,customers!$C$1:$C$1001,,0)))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4">
        <f>INDEX(products!$A$1:$G$49,MATCH(orders!$D559,products!$A$1:$A$49,0),MATCH(orders!L$1,products!$A$1:$G$1,0))</f>
        <v>14.85</v>
      </c>
      <c r="M559">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 " ",(_xlfn.XLOOKUP(C560,customers!$A$1:$A$1001,customers!$C$1:$C$1001,,0)))</f>
        <v xml:space="preserve">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4">
        <f>INDEX(products!$A$1:$G$49,MATCH(orders!$D560,products!$A$1:$A$49,0),MATCH(orders!L$1,products!$A$1:$G$1,0))</f>
        <v>3.8849999999999998</v>
      </c>
      <c r="M560">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 " ",(_xlfn.XLOOKUP(C561,customers!$A$1:$A$1001,customers!$C$1:$C$1001,,0)))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4">
        <f>INDEX(products!$A$1:$G$49,MATCH(orders!$D561,products!$A$1:$A$49,0),MATCH(orders!L$1,products!$A$1:$G$1,0))</f>
        <v>12.95</v>
      </c>
      <c r="M561">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 " ",(_xlfn.XLOOKUP(C562,customers!$A$1:$A$1001,customers!$C$1:$C$1001,,0)))</f>
        <v xml:space="preserve">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4">
        <f>INDEX(products!$A$1:$G$49,MATCH(orders!$D562,products!$A$1:$A$49,0),MATCH(orders!L$1,products!$A$1:$G$1,0))</f>
        <v>31.624999999999996</v>
      </c>
      <c r="M562">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 " ",(_xlfn.XLOOKUP(C563,customers!$A$1:$A$1001,customers!$C$1:$C$1001,,0)))</f>
        <v xml:space="preserve">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4">
        <f>INDEX(products!$A$1:$G$49,MATCH(orders!$D563,products!$A$1:$A$49,0),MATCH(orders!L$1,products!$A$1:$G$1,0))</f>
        <v>2.9849999999999999</v>
      </c>
      <c r="M563">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 " ",(_xlfn.XLOOKUP(C564,customers!$A$1:$A$1001,customers!$C$1:$C$1001,,0)))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4">
        <f>INDEX(products!$A$1:$G$49,MATCH(orders!$D564,products!$A$1:$A$49,0),MATCH(orders!L$1,products!$A$1:$G$1,0))</f>
        <v>4.7549999999999999</v>
      </c>
      <c r="M564">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 " ",(_xlfn.XLOOKUP(C565,customers!$A$1:$A$1001,customers!$C$1:$C$1001,,0)))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4">
        <f>INDEX(products!$A$1:$G$49,MATCH(orders!$D565,products!$A$1:$A$49,0),MATCH(orders!L$1,products!$A$1:$G$1,0))</f>
        <v>13.75</v>
      </c>
      <c r="M56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 " ",(_xlfn.XLOOKUP(C566,customers!$A$1:$A$1001,customers!$C$1:$C$1001,,0)))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4">
        <f>INDEX(products!$A$1:$G$49,MATCH(orders!$D566,products!$A$1:$A$49,0),MATCH(orders!L$1,products!$A$1:$G$1,0))</f>
        <v>7.169999999999999</v>
      </c>
      <c r="M566">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 " ",(_xlfn.XLOOKUP(C567,customers!$A$1:$A$1001,customers!$C$1:$C$1001,,0)))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4">
        <f>INDEX(products!$A$1:$G$49,MATCH(orders!$D567,products!$A$1:$A$49,0),MATCH(orders!L$1,products!$A$1:$G$1,0))</f>
        <v>20.584999999999997</v>
      </c>
      <c r="M567">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 " ",(_xlfn.XLOOKUP(C568,customers!$A$1:$A$1001,customers!$C$1:$C$1001,,0)))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4">
        <f>INDEX(products!$A$1:$G$49,MATCH(orders!$D568,products!$A$1:$A$49,0),MATCH(orders!L$1,products!$A$1:$G$1,0))</f>
        <v>3.375</v>
      </c>
      <c r="M568">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 " ",(_xlfn.XLOOKUP(C569,customers!$A$1:$A$1001,customers!$C$1:$C$1001,,0)))</f>
        <v xml:space="preserve">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4">
        <f>INDEX(products!$A$1:$G$49,MATCH(orders!$D569,products!$A$1:$A$49,0),MATCH(orders!L$1,products!$A$1:$G$1,0))</f>
        <v>27.484999999999996</v>
      </c>
      <c r="M569">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 " ",(_xlfn.XLOOKUP(C570,customers!$A$1:$A$1001,customers!$C$1:$C$1001,,0)))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4">
        <f>INDEX(products!$A$1:$G$49,MATCH(orders!$D570,products!$A$1:$A$49,0),MATCH(orders!L$1,products!$A$1:$G$1,0))</f>
        <v>4.7549999999999999</v>
      </c>
      <c r="M570">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 " ",(_xlfn.XLOOKUP(C571,customers!$A$1:$A$1001,customers!$C$1:$C$1001,,0)))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4">
        <f>INDEX(products!$A$1:$G$49,MATCH(orders!$D571,products!$A$1:$A$49,0),MATCH(orders!L$1,products!$A$1:$G$1,0))</f>
        <v>22.884999999999998</v>
      </c>
      <c r="M571">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 " ",(_xlfn.XLOOKUP(C572,customers!$A$1:$A$1001,customers!$C$1:$C$1001,,0)))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4">
        <f>INDEX(products!$A$1:$G$49,MATCH(orders!$D572,products!$A$1:$A$49,0),MATCH(orders!L$1,products!$A$1:$G$1,0))</f>
        <v>6.75</v>
      </c>
      <c r="M572">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 " ",(_xlfn.XLOOKUP(C573,customers!$A$1:$A$1001,customers!$C$1:$C$1001,,0)))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4">
        <f>INDEX(products!$A$1:$G$49,MATCH(orders!$D573,products!$A$1:$A$49,0),MATCH(orders!L$1,products!$A$1:$G$1,0))</f>
        <v>8.91</v>
      </c>
      <c r="M573">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 " ",(_xlfn.XLOOKUP(C574,customers!$A$1:$A$1001,customers!$C$1:$C$1001,,0)))</f>
        <v xml:space="preserve">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4">
        <f>INDEX(products!$A$1:$G$49,MATCH(orders!$D574,products!$A$1:$A$49,0),MATCH(orders!L$1,products!$A$1:$G$1,0))</f>
        <v>2.9849999999999999</v>
      </c>
      <c r="M574">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 " ",(_xlfn.XLOOKUP(C575,customers!$A$1:$A$1001,customers!$C$1:$C$1001,,0)))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4">
        <f>INDEX(products!$A$1:$G$49,MATCH(orders!$D575,products!$A$1:$A$49,0),MATCH(orders!L$1,products!$A$1:$G$1,0))</f>
        <v>11.25</v>
      </c>
      <c r="M57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 " ",(_xlfn.XLOOKUP(C576,customers!$A$1:$A$1001,customers!$C$1:$C$1001,,0)))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4">
        <f>INDEX(products!$A$1:$G$49,MATCH(orders!$D576,products!$A$1:$A$49,0),MATCH(orders!L$1,products!$A$1:$G$1,0))</f>
        <v>3.5849999999999995</v>
      </c>
      <c r="M576">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 " ",(_xlfn.XLOOKUP(C577,customers!$A$1:$A$1001,customers!$C$1:$C$1001,,0)))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4">
        <f>INDEX(products!$A$1:$G$49,MATCH(orders!$D577,products!$A$1:$A$49,0),MATCH(orders!L$1,products!$A$1:$G$1,0))</f>
        <v>33.464999999999996</v>
      </c>
      <c r="M577">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 " ",(_xlfn.XLOOKUP(C578,customers!$A$1:$A$1001,customers!$C$1:$C$1001,,0)))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4">
        <f>INDEX(products!$A$1:$G$49,MATCH(orders!$D578,products!$A$1:$A$49,0),MATCH(orders!L$1,products!$A$1:$G$1,0))</f>
        <v>2.9849999999999999</v>
      </c>
      <c r="M578">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 " ",(_xlfn.XLOOKUP(C579,customers!$A$1:$A$1001,customers!$C$1:$C$1001,,0)))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4">
        <f>INDEX(products!$A$1:$G$49,MATCH(orders!$D579,products!$A$1:$A$49,0),MATCH(orders!L$1,products!$A$1:$G$1,0))</f>
        <v>14.55</v>
      </c>
      <c r="M579">
        <f t="shared" ref="M579:M642" si="27">L579*E579</f>
        <v>58.2</v>
      </c>
      <c r="N579" t="str">
        <f t="shared" ref="N579:N642" si="28">IF(I579="Rob", "Robusta",IF(I579= "Exc","Excelsa",IF(I579="Ara","Arabica",IF(I579="Lib","Liberica"," "))))</f>
        <v>Liberica</v>
      </c>
      <c r="O579" t="str">
        <f t="shared" ref="O579:O642" si="29">IF(J579="M","Medium",IF(J579="L","Light", IF(J579= "D","Dark"," ")))</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 " ",(_xlfn.XLOOKUP(C580,customers!$A$1:$A$1001,customers!$C$1:$C$1001,,0)))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4">
        <f>INDEX(products!$A$1:$G$49,MATCH(orders!$D580,products!$A$1:$A$49,0),MATCH(orders!L$1,products!$A$1:$G$1,0))</f>
        <v>4.4550000000000001</v>
      </c>
      <c r="M580">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 " ",(_xlfn.XLOOKUP(C581,customers!$A$1:$A$1001,customers!$C$1:$C$1001,,0)))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4">
        <f>INDEX(products!$A$1:$G$49,MATCH(orders!$D581,products!$A$1:$A$49,0),MATCH(orders!L$1,products!$A$1:$G$1,0))</f>
        <v>6.75</v>
      </c>
      <c r="M581">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 " ",(_xlfn.XLOOKUP(C582,customers!$A$1:$A$1001,customers!$C$1:$C$1001,,0)))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4">
        <f>INDEX(products!$A$1:$G$49,MATCH(orders!$D582,products!$A$1:$A$49,0),MATCH(orders!L$1,products!$A$1:$G$1,0))</f>
        <v>14.85</v>
      </c>
      <c r="M582">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 " ",(_xlfn.XLOOKUP(C583,customers!$A$1:$A$1001,customers!$C$1:$C$1001,,0)))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4">
        <f>INDEX(products!$A$1:$G$49,MATCH(orders!$D583,products!$A$1:$A$49,0),MATCH(orders!L$1,products!$A$1:$G$1,0))</f>
        <v>8.91</v>
      </c>
      <c r="M583">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 " ",(_xlfn.XLOOKUP(C584,customers!$A$1:$A$1001,customers!$C$1:$C$1001,,0)))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4">
        <f>INDEX(products!$A$1:$G$49,MATCH(orders!$D584,products!$A$1:$A$49,0),MATCH(orders!L$1,products!$A$1:$G$1,0))</f>
        <v>12.15</v>
      </c>
      <c r="M584">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 " ",(_xlfn.XLOOKUP(C585,customers!$A$1:$A$1001,customers!$C$1:$C$1001,,0)))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4">
        <f>INDEX(products!$A$1:$G$49,MATCH(orders!$D585,products!$A$1:$A$49,0),MATCH(orders!L$1,products!$A$1:$G$1,0))</f>
        <v>3.5849999999999995</v>
      </c>
      <c r="M58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 " ",(_xlfn.XLOOKUP(C586,customers!$A$1:$A$1001,customers!$C$1:$C$1001,,0)))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4">
        <f>INDEX(products!$A$1:$G$49,MATCH(orders!$D586,products!$A$1:$A$49,0),MATCH(orders!L$1,products!$A$1:$G$1,0))</f>
        <v>3.5849999999999995</v>
      </c>
      <c r="M586">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 " ",(_xlfn.XLOOKUP(C587,customers!$A$1:$A$1001,customers!$C$1:$C$1001,,0)))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4">
        <f>INDEX(products!$A$1:$G$49,MATCH(orders!$D587,products!$A$1:$A$49,0),MATCH(orders!L$1,products!$A$1:$G$1,0))</f>
        <v>8.25</v>
      </c>
      <c r="M587">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 " ",(_xlfn.XLOOKUP(C588,customers!$A$1:$A$1001,customers!$C$1:$C$1001,,0)))</f>
        <v xml:space="preserve">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4">
        <f>INDEX(products!$A$1:$G$49,MATCH(orders!$D588,products!$A$1:$A$49,0),MATCH(orders!L$1,products!$A$1:$G$1,0))</f>
        <v>27.484999999999996</v>
      </c>
      <c r="M588">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 " ",(_xlfn.XLOOKUP(C589,customers!$A$1:$A$1001,customers!$C$1:$C$1001,,0)))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4">
        <f>INDEX(products!$A$1:$G$49,MATCH(orders!$D589,products!$A$1:$A$49,0),MATCH(orders!L$1,products!$A$1:$G$1,0))</f>
        <v>7.77</v>
      </c>
      <c r="M589">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 " ",(_xlfn.XLOOKUP(C590,customers!$A$1:$A$1001,customers!$C$1:$C$1001,,0)))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4">
        <f>INDEX(products!$A$1:$G$49,MATCH(orders!$D590,products!$A$1:$A$49,0),MATCH(orders!L$1,products!$A$1:$G$1,0))</f>
        <v>5.97</v>
      </c>
      <c r="M590">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 " ",(_xlfn.XLOOKUP(C591,customers!$A$1:$A$1001,customers!$C$1:$C$1001,,0)))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4">
        <f>INDEX(products!$A$1:$G$49,MATCH(orders!$D591,products!$A$1:$A$49,0),MATCH(orders!L$1,products!$A$1:$G$1,0))</f>
        <v>34.154999999999994</v>
      </c>
      <c r="M591">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 " ",(_xlfn.XLOOKUP(C592,customers!$A$1:$A$1001,customers!$C$1:$C$1001,,0)))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4">
        <f>INDEX(products!$A$1:$G$49,MATCH(orders!$D592,products!$A$1:$A$49,0),MATCH(orders!L$1,products!$A$1:$G$1,0))</f>
        <v>31.624999999999996</v>
      </c>
      <c r="M592">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 " ",(_xlfn.XLOOKUP(C593,customers!$A$1:$A$1001,customers!$C$1:$C$1001,,0)))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4">
        <f>INDEX(products!$A$1:$G$49,MATCH(orders!$D593,products!$A$1:$A$49,0),MATCH(orders!L$1,products!$A$1:$G$1,0))</f>
        <v>2.6849999999999996</v>
      </c>
      <c r="M593">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 " ",(_xlfn.XLOOKUP(C594,customers!$A$1:$A$1001,customers!$C$1:$C$1001,,0)))</f>
        <v xml:space="preserve">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4">
        <f>INDEX(products!$A$1:$G$49,MATCH(orders!$D594,products!$A$1:$A$49,0),MATCH(orders!L$1,products!$A$1:$G$1,0))</f>
        <v>25.874999999999996</v>
      </c>
      <c r="M594">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 " ",(_xlfn.XLOOKUP(C595,customers!$A$1:$A$1001,customers!$C$1:$C$1001,,0)))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4">
        <f>INDEX(products!$A$1:$G$49,MATCH(orders!$D595,products!$A$1:$A$49,0),MATCH(orders!L$1,products!$A$1:$G$1,0))</f>
        <v>27.945</v>
      </c>
      <c r="M59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 " ",(_xlfn.XLOOKUP(C596,customers!$A$1:$A$1001,customers!$C$1:$C$1001,,0)))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4">
        <f>INDEX(products!$A$1:$G$49,MATCH(orders!$D596,products!$A$1:$A$49,0),MATCH(orders!L$1,products!$A$1:$G$1,0))</f>
        <v>29.784999999999997</v>
      </c>
      <c r="M596">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 " ",(_xlfn.XLOOKUP(C597,customers!$A$1:$A$1001,customers!$C$1:$C$1001,,0)))</f>
        <v xml:space="preserve">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4">
        <f>INDEX(products!$A$1:$G$49,MATCH(orders!$D597,products!$A$1:$A$49,0),MATCH(orders!L$1,products!$A$1:$G$1,0))</f>
        <v>14.85</v>
      </c>
      <c r="M597">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 " ",(_xlfn.XLOOKUP(C598,customers!$A$1:$A$1001,customers!$C$1:$C$1001,,0)))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4">
        <f>INDEX(products!$A$1:$G$49,MATCH(orders!$D598,products!$A$1:$A$49,0),MATCH(orders!L$1,products!$A$1:$G$1,0))</f>
        <v>6.75</v>
      </c>
      <c r="M598">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 " ",(_xlfn.XLOOKUP(C599,customers!$A$1:$A$1001,customers!$C$1:$C$1001,,0)))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4">
        <f>INDEX(products!$A$1:$G$49,MATCH(orders!$D599,products!$A$1:$A$49,0),MATCH(orders!L$1,products!$A$1:$G$1,0))</f>
        <v>36.454999999999998</v>
      </c>
      <c r="M599">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 " ",(_xlfn.XLOOKUP(C600,customers!$A$1:$A$1001,customers!$C$1:$C$1001,,0)))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4">
        <f>INDEX(products!$A$1:$G$49,MATCH(orders!$D600,products!$A$1:$A$49,0),MATCH(orders!L$1,products!$A$1:$G$1,0))</f>
        <v>2.9849999999999999</v>
      </c>
      <c r="M600">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 " ",(_xlfn.XLOOKUP(C601,customers!$A$1:$A$1001,customers!$C$1:$C$1001,,0)))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4">
        <f>INDEX(products!$A$1:$G$49,MATCH(orders!$D601,products!$A$1:$A$49,0),MATCH(orders!L$1,products!$A$1:$G$1,0))</f>
        <v>2.9849999999999999</v>
      </c>
      <c r="M601">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 " ",(_xlfn.XLOOKUP(C602,customers!$A$1:$A$1001,customers!$C$1:$C$1001,,0)))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4">
        <f>INDEX(products!$A$1:$G$49,MATCH(orders!$D602,products!$A$1:$A$49,0),MATCH(orders!L$1,products!$A$1:$G$1,0))</f>
        <v>7.77</v>
      </c>
      <c r="M602">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 " ",(_xlfn.XLOOKUP(C603,customers!$A$1:$A$1001,customers!$C$1:$C$1001,,0)))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4">
        <f>INDEX(products!$A$1:$G$49,MATCH(orders!$D603,products!$A$1:$A$49,0),MATCH(orders!L$1,products!$A$1:$G$1,0))</f>
        <v>27.484999999999996</v>
      </c>
      <c r="M603">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 " ",(_xlfn.XLOOKUP(C604,customers!$A$1:$A$1001,customers!$C$1:$C$1001,,0)))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4">
        <f>INDEX(products!$A$1:$G$49,MATCH(orders!$D604,products!$A$1:$A$49,0),MATCH(orders!L$1,products!$A$1:$G$1,0))</f>
        <v>4.4550000000000001</v>
      </c>
      <c r="M604">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 " ",(_xlfn.XLOOKUP(C605,customers!$A$1:$A$1001,customers!$C$1:$C$1001,,0)))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4">
        <f>INDEX(products!$A$1:$G$49,MATCH(orders!$D605,products!$A$1:$A$49,0),MATCH(orders!L$1,products!$A$1:$G$1,0))</f>
        <v>2.9849999999999999</v>
      </c>
      <c r="M60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 " ",(_xlfn.XLOOKUP(C606,customers!$A$1:$A$1001,customers!$C$1:$C$1001,,0)))</f>
        <v xml:space="preserve">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4">
        <f>INDEX(products!$A$1:$G$49,MATCH(orders!$D606,products!$A$1:$A$49,0),MATCH(orders!L$1,products!$A$1:$G$1,0))</f>
        <v>29.784999999999997</v>
      </c>
      <c r="M606">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 " ",(_xlfn.XLOOKUP(C607,customers!$A$1:$A$1001,customers!$C$1:$C$1001,,0)))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4">
        <f>INDEX(products!$A$1:$G$49,MATCH(orders!$D607,products!$A$1:$A$49,0),MATCH(orders!L$1,products!$A$1:$G$1,0))</f>
        <v>29.784999999999997</v>
      </c>
      <c r="M607">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 " ",(_xlfn.XLOOKUP(C608,customers!$A$1:$A$1001,customers!$C$1:$C$1001,,0)))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4">
        <f>INDEX(products!$A$1:$G$49,MATCH(orders!$D608,products!$A$1:$A$49,0),MATCH(orders!L$1,products!$A$1:$G$1,0))</f>
        <v>36.454999999999998</v>
      </c>
      <c r="M608">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 " ",(_xlfn.XLOOKUP(C609,customers!$A$1:$A$1001,customers!$C$1:$C$1001,,0)))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4">
        <f>INDEX(products!$A$1:$G$49,MATCH(orders!$D609,products!$A$1:$A$49,0),MATCH(orders!L$1,products!$A$1:$G$1,0))</f>
        <v>3.645</v>
      </c>
      <c r="M609">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 " ",(_xlfn.XLOOKUP(C610,customers!$A$1:$A$1001,customers!$C$1:$C$1001,,0)))</f>
        <v xml:space="preserve">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4">
        <f>INDEX(products!$A$1:$G$49,MATCH(orders!$D610,products!$A$1:$A$49,0),MATCH(orders!L$1,products!$A$1:$G$1,0))</f>
        <v>27.945</v>
      </c>
      <c r="M610">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 " ",(_xlfn.XLOOKUP(C611,customers!$A$1:$A$1001,customers!$C$1:$C$1001,,0)))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4">
        <f>INDEX(products!$A$1:$G$49,MATCH(orders!$D611,products!$A$1:$A$49,0),MATCH(orders!L$1,products!$A$1:$G$1,0))</f>
        <v>4.3650000000000002</v>
      </c>
      <c r="M611">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 " ",(_xlfn.XLOOKUP(C612,customers!$A$1:$A$1001,customers!$C$1:$C$1001,,0)))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4">
        <f>INDEX(products!$A$1:$G$49,MATCH(orders!$D612,products!$A$1:$A$49,0),MATCH(orders!L$1,products!$A$1:$G$1,0))</f>
        <v>9.9499999999999993</v>
      </c>
      <c r="M612">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 " ",(_xlfn.XLOOKUP(C613,customers!$A$1:$A$1001,customers!$C$1:$C$1001,,0)))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4">
        <f>INDEX(products!$A$1:$G$49,MATCH(orders!$D613,products!$A$1:$A$49,0),MATCH(orders!L$1,products!$A$1:$G$1,0))</f>
        <v>34.154999999999994</v>
      </c>
      <c r="M613">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 " ",(_xlfn.XLOOKUP(C614,customers!$A$1:$A$1001,customers!$C$1:$C$1001,,0)))</f>
        <v xml:space="preserve">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4">
        <f>INDEX(products!$A$1:$G$49,MATCH(orders!$D614,products!$A$1:$A$49,0),MATCH(orders!L$1,products!$A$1:$G$1,0))</f>
        <v>3.375</v>
      </c>
      <c r="M614">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 " ",(_xlfn.XLOOKUP(C615,customers!$A$1:$A$1001,customers!$C$1:$C$1001,,0)))</f>
        <v xml:space="preserve">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4">
        <f>INDEX(products!$A$1:$G$49,MATCH(orders!$D615,products!$A$1:$A$49,0),MATCH(orders!L$1,products!$A$1:$G$1,0))</f>
        <v>5.97</v>
      </c>
      <c r="M61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 " ",(_xlfn.XLOOKUP(C616,customers!$A$1:$A$1001,customers!$C$1:$C$1001,,0)))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4">
        <f>INDEX(products!$A$1:$G$49,MATCH(orders!$D616,products!$A$1:$A$49,0),MATCH(orders!L$1,products!$A$1:$G$1,0))</f>
        <v>5.97</v>
      </c>
      <c r="M616">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 " ",(_xlfn.XLOOKUP(C617,customers!$A$1:$A$1001,customers!$C$1:$C$1001,,0)))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4">
        <f>INDEX(products!$A$1:$G$49,MATCH(orders!$D617,products!$A$1:$A$49,0),MATCH(orders!L$1,products!$A$1:$G$1,0))</f>
        <v>36.454999999999998</v>
      </c>
      <c r="M617">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 " ",(_xlfn.XLOOKUP(C618,customers!$A$1:$A$1001,customers!$C$1:$C$1001,,0)))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4">
        <f>INDEX(products!$A$1:$G$49,MATCH(orders!$D618,products!$A$1:$A$49,0),MATCH(orders!L$1,products!$A$1:$G$1,0))</f>
        <v>31.624999999999996</v>
      </c>
      <c r="M618">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 " ",(_xlfn.XLOOKUP(C619,customers!$A$1:$A$1001,customers!$C$1:$C$1001,,0)))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4">
        <f>INDEX(products!$A$1:$G$49,MATCH(orders!$D619,products!$A$1:$A$49,0),MATCH(orders!L$1,products!$A$1:$G$1,0))</f>
        <v>33.464999999999996</v>
      </c>
      <c r="M619">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 " ",(_xlfn.XLOOKUP(C620,customers!$A$1:$A$1001,customers!$C$1:$C$1001,,0)))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4">
        <f>INDEX(products!$A$1:$G$49,MATCH(orders!$D620,products!$A$1:$A$49,0),MATCH(orders!L$1,products!$A$1:$G$1,0))</f>
        <v>12.15</v>
      </c>
      <c r="M620">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 " ",(_xlfn.XLOOKUP(C621,customers!$A$1:$A$1001,customers!$C$1:$C$1001,,0)))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4">
        <f>INDEX(products!$A$1:$G$49,MATCH(orders!$D621,products!$A$1:$A$49,0),MATCH(orders!L$1,products!$A$1:$G$1,0))</f>
        <v>7.77</v>
      </c>
      <c r="M621">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 " ",(_xlfn.XLOOKUP(C622,customers!$A$1:$A$1001,customers!$C$1:$C$1001,,0)))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4">
        <f>INDEX(products!$A$1:$G$49,MATCH(orders!$D622,products!$A$1:$A$49,0),MATCH(orders!L$1,products!$A$1:$G$1,0))</f>
        <v>3.375</v>
      </c>
      <c r="M622">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 " ",(_xlfn.XLOOKUP(C623,customers!$A$1:$A$1001,customers!$C$1:$C$1001,,0)))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4">
        <f>INDEX(products!$A$1:$G$49,MATCH(orders!$D623,products!$A$1:$A$49,0),MATCH(orders!L$1,products!$A$1:$G$1,0))</f>
        <v>12.95</v>
      </c>
      <c r="M623">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 " ",(_xlfn.XLOOKUP(C624,customers!$A$1:$A$1001,customers!$C$1:$C$1001,,0)))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4">
        <f>INDEX(products!$A$1:$G$49,MATCH(orders!$D624,products!$A$1:$A$49,0),MATCH(orders!L$1,products!$A$1:$G$1,0))</f>
        <v>33.464999999999996</v>
      </c>
      <c r="M624">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 " ",(_xlfn.XLOOKUP(C625,customers!$A$1:$A$1001,customers!$C$1:$C$1001,,0)))</f>
        <v xml:space="preserve">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4">
        <f>INDEX(products!$A$1:$G$49,MATCH(orders!$D625,products!$A$1:$A$49,0),MATCH(orders!L$1,products!$A$1:$G$1,0))</f>
        <v>12.15</v>
      </c>
      <c r="M62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 " ",(_xlfn.XLOOKUP(C626,customers!$A$1:$A$1001,customers!$C$1:$C$1001,,0)))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4">
        <f>INDEX(products!$A$1:$G$49,MATCH(orders!$D626,products!$A$1:$A$49,0),MATCH(orders!L$1,products!$A$1:$G$1,0))</f>
        <v>31.624999999999996</v>
      </c>
      <c r="M626">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 " ",(_xlfn.XLOOKUP(C627,customers!$A$1:$A$1001,customers!$C$1:$C$1001,,0)))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4">
        <f>INDEX(products!$A$1:$G$49,MATCH(orders!$D627,products!$A$1:$A$49,0),MATCH(orders!L$1,products!$A$1:$G$1,0))</f>
        <v>7.169999999999999</v>
      </c>
      <c r="M627">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 " ",(_xlfn.XLOOKUP(C628,customers!$A$1:$A$1001,customers!$C$1:$C$1001,,0)))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4">
        <f>INDEX(products!$A$1:$G$49,MATCH(orders!$D628,products!$A$1:$A$49,0),MATCH(orders!L$1,products!$A$1:$G$1,0))</f>
        <v>25.874999999999996</v>
      </c>
      <c r="M628">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 " ",(_xlfn.XLOOKUP(C629,customers!$A$1:$A$1001,customers!$C$1:$C$1001,,0)))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4">
        <f>INDEX(products!$A$1:$G$49,MATCH(orders!$D629,products!$A$1:$A$49,0),MATCH(orders!L$1,products!$A$1:$G$1,0))</f>
        <v>31.624999999999996</v>
      </c>
      <c r="M629">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 " ",(_xlfn.XLOOKUP(C630,customers!$A$1:$A$1001,customers!$C$1:$C$1001,,0)))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4">
        <f>INDEX(products!$A$1:$G$49,MATCH(orders!$D630,products!$A$1:$A$49,0),MATCH(orders!L$1,products!$A$1:$G$1,0))</f>
        <v>4.4550000000000001</v>
      </c>
      <c r="M630">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 " ",(_xlfn.XLOOKUP(C631,customers!$A$1:$A$1001,customers!$C$1:$C$1001,,0)))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4">
        <f>INDEX(products!$A$1:$G$49,MATCH(orders!$D631,products!$A$1:$A$49,0),MATCH(orders!L$1,products!$A$1:$G$1,0))</f>
        <v>7.77</v>
      </c>
      <c r="M631">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 " ",(_xlfn.XLOOKUP(C632,customers!$A$1:$A$1001,customers!$C$1:$C$1001,,0)))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4">
        <f>INDEX(products!$A$1:$G$49,MATCH(orders!$D632,products!$A$1:$A$49,0),MATCH(orders!L$1,products!$A$1:$G$1,0))</f>
        <v>2.9849999999999999</v>
      </c>
      <c r="M632">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 " ",(_xlfn.XLOOKUP(C633,customers!$A$1:$A$1001,customers!$C$1:$C$1001,,0)))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4">
        <f>INDEX(products!$A$1:$G$49,MATCH(orders!$D633,products!$A$1:$A$49,0),MATCH(orders!L$1,products!$A$1:$G$1,0))</f>
        <v>20.584999999999997</v>
      </c>
      <c r="M633">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 " ",(_xlfn.XLOOKUP(C634,customers!$A$1:$A$1001,customers!$C$1:$C$1001,,0)))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4">
        <f>INDEX(products!$A$1:$G$49,MATCH(orders!$D634,products!$A$1:$A$49,0),MATCH(orders!L$1,products!$A$1:$G$1,0))</f>
        <v>8.91</v>
      </c>
      <c r="M634">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 " ",(_xlfn.XLOOKUP(C635,customers!$A$1:$A$1001,customers!$C$1:$C$1001,,0)))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4">
        <f>INDEX(products!$A$1:$G$49,MATCH(orders!$D635,products!$A$1:$A$49,0),MATCH(orders!L$1,products!$A$1:$G$1,0))</f>
        <v>11.95</v>
      </c>
      <c r="M63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 " ",(_xlfn.XLOOKUP(C636,customers!$A$1:$A$1001,customers!$C$1:$C$1001,,0)))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4">
        <f>INDEX(products!$A$1:$G$49,MATCH(orders!$D636,products!$A$1:$A$49,0),MATCH(orders!L$1,products!$A$1:$G$1,0))</f>
        <v>14.55</v>
      </c>
      <c r="M636">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 " ",(_xlfn.XLOOKUP(C637,customers!$A$1:$A$1001,customers!$C$1:$C$1001,,0)))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4">
        <f>INDEX(products!$A$1:$G$49,MATCH(orders!$D637,products!$A$1:$A$49,0),MATCH(orders!L$1,products!$A$1:$G$1,0))</f>
        <v>8.91</v>
      </c>
      <c r="M637">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 " ",(_xlfn.XLOOKUP(C638,customers!$A$1:$A$1001,customers!$C$1:$C$1001,,0)))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4">
        <f>INDEX(products!$A$1:$G$49,MATCH(orders!$D638,products!$A$1:$A$49,0),MATCH(orders!L$1,products!$A$1:$G$1,0))</f>
        <v>15.85</v>
      </c>
      <c r="M638">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 " ",(_xlfn.XLOOKUP(C639,customers!$A$1:$A$1001,customers!$C$1:$C$1001,,0)))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4">
        <f>INDEX(products!$A$1:$G$49,MATCH(orders!$D639,products!$A$1:$A$49,0),MATCH(orders!L$1,products!$A$1:$G$1,0))</f>
        <v>31.624999999999996</v>
      </c>
      <c r="M639">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 " ",(_xlfn.XLOOKUP(C640,customers!$A$1:$A$1001,customers!$C$1:$C$1001,,0)))</f>
        <v xml:space="preserve">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4">
        <f>INDEX(products!$A$1:$G$49,MATCH(orders!$D640,products!$A$1:$A$49,0),MATCH(orders!L$1,products!$A$1:$G$1,0))</f>
        <v>25.874999999999996</v>
      </c>
      <c r="M640">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 " ",(_xlfn.XLOOKUP(C641,customers!$A$1:$A$1001,customers!$C$1:$C$1001,,0)))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4">
        <f>INDEX(products!$A$1:$G$49,MATCH(orders!$D641,products!$A$1:$A$49,0),MATCH(orders!L$1,products!$A$1:$G$1,0))</f>
        <v>3.8849999999999998</v>
      </c>
      <c r="M641">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 " ",(_xlfn.XLOOKUP(C642,customers!$A$1:$A$1001,customers!$C$1:$C$1001,,0)))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4">
        <f>INDEX(products!$A$1:$G$49,MATCH(orders!$D642,products!$A$1:$A$49,0),MATCH(orders!L$1,products!$A$1:$G$1,0))</f>
        <v>27.484999999999996</v>
      </c>
      <c r="M642">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 " ",(_xlfn.XLOOKUP(C643,customers!$A$1:$A$1001,customers!$C$1:$C$1001,,0)))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4">
        <f>INDEX(products!$A$1:$G$49,MATCH(orders!$D643,products!$A$1:$A$49,0),MATCH(orders!L$1,products!$A$1:$G$1,0))</f>
        <v>11.95</v>
      </c>
      <c r="M643">
        <f t="shared" ref="M643:M706" si="30">L643*E643</f>
        <v>35.849999999999994</v>
      </c>
      <c r="N643" t="str">
        <f t="shared" ref="N643:N706" si="31">IF(I643="Rob", "Robusta",IF(I643= "Exc","Excelsa",IF(I643="Ara","Arabica",IF(I643="Lib","Liberica"," "))))</f>
        <v>Robusta</v>
      </c>
      <c r="O643" t="str">
        <f t="shared" ref="O643:O706" si="32">IF(J643="M","Medium",IF(J643="L","Light", IF(J643= "D","Dark"," ")))</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 " ",(_xlfn.XLOOKUP(C644,customers!$A$1:$A$1001,customers!$C$1:$C$1001,,0)))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4">
        <f>INDEX(products!$A$1:$G$49,MATCH(orders!$D644,products!$A$1:$A$49,0),MATCH(orders!L$1,products!$A$1:$G$1,0))</f>
        <v>4.125</v>
      </c>
      <c r="M644">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 " ",(_xlfn.XLOOKUP(C645,customers!$A$1:$A$1001,customers!$C$1:$C$1001,,0)))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4">
        <f>INDEX(products!$A$1:$G$49,MATCH(orders!$D645,products!$A$1:$A$49,0),MATCH(orders!L$1,products!$A$1:$G$1,0))</f>
        <v>34.154999999999994</v>
      </c>
      <c r="M64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 " ",(_xlfn.XLOOKUP(C646,customers!$A$1:$A$1001,customers!$C$1:$C$1001,,0)))</f>
        <v xml:space="preserve">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4">
        <f>INDEX(products!$A$1:$G$49,MATCH(orders!$D646,products!$A$1:$A$49,0),MATCH(orders!L$1,products!$A$1:$G$1,0))</f>
        <v>20.584999999999997</v>
      </c>
      <c r="M646">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 " ",(_xlfn.XLOOKUP(C647,customers!$A$1:$A$1001,customers!$C$1:$C$1001,,0)))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4">
        <f>INDEX(products!$A$1:$G$49,MATCH(orders!$D647,products!$A$1:$A$49,0),MATCH(orders!L$1,products!$A$1:$G$1,0))</f>
        <v>22.884999999999998</v>
      </c>
      <c r="M647">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 " ",(_xlfn.XLOOKUP(C648,customers!$A$1:$A$1001,customers!$C$1:$C$1001,,0)))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4">
        <f>INDEX(products!$A$1:$G$49,MATCH(orders!$D648,products!$A$1:$A$49,0),MATCH(orders!L$1,products!$A$1:$G$1,0))</f>
        <v>9.9499999999999993</v>
      </c>
      <c r="M648">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 " ",(_xlfn.XLOOKUP(C649,customers!$A$1:$A$1001,customers!$C$1:$C$1001,,0)))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4">
        <f>INDEX(products!$A$1:$G$49,MATCH(orders!$D649,products!$A$1:$A$49,0),MATCH(orders!L$1,products!$A$1:$G$1,0))</f>
        <v>9.51</v>
      </c>
      <c r="M649">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 " ",(_xlfn.XLOOKUP(C650,customers!$A$1:$A$1001,customers!$C$1:$C$1001,,0)))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4">
        <f>INDEX(products!$A$1:$G$49,MATCH(orders!$D650,products!$A$1:$A$49,0),MATCH(orders!L$1,products!$A$1:$G$1,0))</f>
        <v>2.6849999999999996</v>
      </c>
      <c r="M650">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 " ",(_xlfn.XLOOKUP(C651,customers!$A$1:$A$1001,customers!$C$1:$C$1001,,0)))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4">
        <f>INDEX(products!$A$1:$G$49,MATCH(orders!$D651,products!$A$1:$A$49,0),MATCH(orders!L$1,products!$A$1:$G$1,0))</f>
        <v>15.85</v>
      </c>
      <c r="M651">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 " ",(_xlfn.XLOOKUP(C652,customers!$A$1:$A$1001,customers!$C$1:$C$1001,,0)))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4">
        <f>INDEX(products!$A$1:$G$49,MATCH(orders!$D652,products!$A$1:$A$49,0),MATCH(orders!L$1,products!$A$1:$G$1,0))</f>
        <v>5.3699999999999992</v>
      </c>
      <c r="M652">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 " ",(_xlfn.XLOOKUP(C653,customers!$A$1:$A$1001,customers!$C$1:$C$1001,,0)))</f>
        <v xml:space="preserve">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4">
        <f>INDEX(products!$A$1:$G$49,MATCH(orders!$D653,products!$A$1:$A$49,0),MATCH(orders!L$1,products!$A$1:$G$1,0))</f>
        <v>11.95</v>
      </c>
      <c r="M653">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 " ",(_xlfn.XLOOKUP(C654,customers!$A$1:$A$1001,customers!$C$1:$C$1001,,0)))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4">
        <f>INDEX(products!$A$1:$G$49,MATCH(orders!$D654,products!$A$1:$A$49,0),MATCH(orders!L$1,products!$A$1:$G$1,0))</f>
        <v>15.85</v>
      </c>
      <c r="M654">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 " ",(_xlfn.XLOOKUP(C655,customers!$A$1:$A$1001,customers!$C$1:$C$1001,,0)))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4">
        <f>INDEX(products!$A$1:$G$49,MATCH(orders!$D655,products!$A$1:$A$49,0),MATCH(orders!L$1,products!$A$1:$G$1,0))</f>
        <v>25.874999999999996</v>
      </c>
      <c r="M65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 " ",(_xlfn.XLOOKUP(C656,customers!$A$1:$A$1001,customers!$C$1:$C$1001,,0)))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4">
        <f>INDEX(products!$A$1:$G$49,MATCH(orders!$D656,products!$A$1:$A$49,0),MATCH(orders!L$1,products!$A$1:$G$1,0))</f>
        <v>22.884999999999998</v>
      </c>
      <c r="M656">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 " ",(_xlfn.XLOOKUP(C657,customers!$A$1:$A$1001,customers!$C$1:$C$1001,,0)))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4">
        <f>INDEX(products!$A$1:$G$49,MATCH(orders!$D657,products!$A$1:$A$49,0),MATCH(orders!L$1,products!$A$1:$G$1,0))</f>
        <v>22.884999999999998</v>
      </c>
      <c r="M657">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 " ",(_xlfn.XLOOKUP(C658,customers!$A$1:$A$1001,customers!$C$1:$C$1001,,0)))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4">
        <f>INDEX(products!$A$1:$G$49,MATCH(orders!$D658,products!$A$1:$A$49,0),MATCH(orders!L$1,products!$A$1:$G$1,0))</f>
        <v>12.95</v>
      </c>
      <c r="M658">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 " ",(_xlfn.XLOOKUP(C659,customers!$A$1:$A$1001,customers!$C$1:$C$1001,,0)))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4">
        <f>INDEX(products!$A$1:$G$49,MATCH(orders!$D659,products!$A$1:$A$49,0),MATCH(orders!L$1,products!$A$1:$G$1,0))</f>
        <v>6.75</v>
      </c>
      <c r="M659">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 " ",(_xlfn.XLOOKUP(C660,customers!$A$1:$A$1001,customers!$C$1:$C$1001,,0)))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4">
        <f>INDEX(products!$A$1:$G$49,MATCH(orders!$D660,products!$A$1:$A$49,0),MATCH(orders!L$1,products!$A$1:$G$1,0))</f>
        <v>8.25</v>
      </c>
      <c r="M660">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 " ",(_xlfn.XLOOKUP(C661,customers!$A$1:$A$1001,customers!$C$1:$C$1001,,0)))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4">
        <f>INDEX(products!$A$1:$G$49,MATCH(orders!$D661,products!$A$1:$A$49,0),MATCH(orders!L$1,products!$A$1:$G$1,0))</f>
        <v>22.884999999999998</v>
      </c>
      <c r="M661">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 " ",(_xlfn.XLOOKUP(C662,customers!$A$1:$A$1001,customers!$C$1:$C$1001,,0)))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4">
        <f>INDEX(products!$A$1:$G$49,MATCH(orders!$D662,products!$A$1:$A$49,0),MATCH(orders!L$1,products!$A$1:$G$1,0))</f>
        <v>8.91</v>
      </c>
      <c r="M662">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 " ",(_xlfn.XLOOKUP(C663,customers!$A$1:$A$1001,customers!$C$1:$C$1001,,0)))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4">
        <f>INDEX(products!$A$1:$G$49,MATCH(orders!$D663,products!$A$1:$A$49,0),MATCH(orders!L$1,products!$A$1:$G$1,0))</f>
        <v>3.375</v>
      </c>
      <c r="M663">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 " ",(_xlfn.XLOOKUP(C664,customers!$A$1:$A$1001,customers!$C$1:$C$1001,,0)))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4">
        <f>INDEX(products!$A$1:$G$49,MATCH(orders!$D664,products!$A$1:$A$49,0),MATCH(orders!L$1,products!$A$1:$G$1,0))</f>
        <v>29.784999999999997</v>
      </c>
      <c r="M664">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 " ",(_xlfn.XLOOKUP(C665,customers!$A$1:$A$1001,customers!$C$1:$C$1001,,0)))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4">
        <f>INDEX(products!$A$1:$G$49,MATCH(orders!$D665,products!$A$1:$A$49,0),MATCH(orders!L$1,products!$A$1:$G$1,0))</f>
        <v>11.25</v>
      </c>
      <c r="M66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 " ",(_xlfn.XLOOKUP(C666,customers!$A$1:$A$1001,customers!$C$1:$C$1001,,0)))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4">
        <f>INDEX(products!$A$1:$G$49,MATCH(orders!$D666,products!$A$1:$A$49,0),MATCH(orders!L$1,products!$A$1:$G$1,0))</f>
        <v>12.15</v>
      </c>
      <c r="M666">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 " ",(_xlfn.XLOOKUP(C667,customers!$A$1:$A$1001,customers!$C$1:$C$1001,,0)))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4">
        <f>INDEX(products!$A$1:$G$49,MATCH(orders!$D667,products!$A$1:$A$49,0),MATCH(orders!L$1,products!$A$1:$G$1,0))</f>
        <v>3.8849999999999998</v>
      </c>
      <c r="M667">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 " ",(_xlfn.XLOOKUP(C668,customers!$A$1:$A$1001,customers!$C$1:$C$1001,,0)))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4">
        <f>INDEX(products!$A$1:$G$49,MATCH(orders!$D668,products!$A$1:$A$49,0),MATCH(orders!L$1,products!$A$1:$G$1,0))</f>
        <v>22.884999999999998</v>
      </c>
      <c r="M668">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 " ",(_xlfn.XLOOKUP(C669,customers!$A$1:$A$1001,customers!$C$1:$C$1001,,0)))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4">
        <f>INDEX(products!$A$1:$G$49,MATCH(orders!$D669,products!$A$1:$A$49,0),MATCH(orders!L$1,products!$A$1:$G$1,0))</f>
        <v>9.9499999999999993</v>
      </c>
      <c r="M669">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 " ",(_xlfn.XLOOKUP(C670,customers!$A$1:$A$1001,customers!$C$1:$C$1001,,0)))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4">
        <f>INDEX(products!$A$1:$G$49,MATCH(orders!$D670,products!$A$1:$A$49,0),MATCH(orders!L$1,products!$A$1:$G$1,0))</f>
        <v>27.484999999999996</v>
      </c>
      <c r="M670">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 " ",(_xlfn.XLOOKUP(C671,customers!$A$1:$A$1001,customers!$C$1:$C$1001,,0)))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4">
        <f>INDEX(products!$A$1:$G$49,MATCH(orders!$D671,products!$A$1:$A$49,0),MATCH(orders!L$1,products!$A$1:$G$1,0))</f>
        <v>33.464999999999996</v>
      </c>
      <c r="M671">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 " ",(_xlfn.XLOOKUP(C672,customers!$A$1:$A$1001,customers!$C$1:$C$1001,,0)))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4">
        <f>INDEX(products!$A$1:$G$49,MATCH(orders!$D672,products!$A$1:$A$49,0),MATCH(orders!L$1,products!$A$1:$G$1,0))</f>
        <v>4.3650000000000002</v>
      </c>
      <c r="M672">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 " ",(_xlfn.XLOOKUP(C673,customers!$A$1:$A$1001,customers!$C$1:$C$1001,,0)))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4">
        <f>INDEX(products!$A$1:$G$49,MATCH(orders!$D673,products!$A$1:$A$49,0),MATCH(orders!L$1,products!$A$1:$G$1,0))</f>
        <v>11.95</v>
      </c>
      <c r="M673">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 " ",(_xlfn.XLOOKUP(C674,customers!$A$1:$A$1001,customers!$C$1:$C$1001,,0)))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4">
        <f>INDEX(products!$A$1:$G$49,MATCH(orders!$D674,products!$A$1:$A$49,0),MATCH(orders!L$1,products!$A$1:$G$1,0))</f>
        <v>8.73</v>
      </c>
      <c r="M674">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 " ",(_xlfn.XLOOKUP(C675,customers!$A$1:$A$1001,customers!$C$1:$C$1001,,0)))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4">
        <f>INDEX(products!$A$1:$G$49,MATCH(orders!$D675,products!$A$1:$A$49,0),MATCH(orders!L$1,products!$A$1:$G$1,0))</f>
        <v>13.75</v>
      </c>
      <c r="M67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 " ",(_xlfn.XLOOKUP(C676,customers!$A$1:$A$1001,customers!$C$1:$C$1001,,0)))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4">
        <f>INDEX(products!$A$1:$G$49,MATCH(orders!$D676,products!$A$1:$A$49,0),MATCH(orders!L$1,products!$A$1:$G$1,0))</f>
        <v>29.784999999999997</v>
      </c>
      <c r="M676">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 " ",(_xlfn.XLOOKUP(C677,customers!$A$1:$A$1001,customers!$C$1:$C$1001,,0)))</f>
        <v xml:space="preserve">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4">
        <f>INDEX(products!$A$1:$G$49,MATCH(orders!$D677,products!$A$1:$A$49,0),MATCH(orders!L$1,products!$A$1:$G$1,0))</f>
        <v>29.784999999999997</v>
      </c>
      <c r="M677">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 " ",(_xlfn.XLOOKUP(C678,customers!$A$1:$A$1001,customers!$C$1:$C$1001,,0)))</f>
        <v xml:space="preserve">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4">
        <f>INDEX(products!$A$1:$G$49,MATCH(orders!$D678,products!$A$1:$A$49,0),MATCH(orders!L$1,products!$A$1:$G$1,0))</f>
        <v>9.51</v>
      </c>
      <c r="M678">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 " ",(_xlfn.XLOOKUP(C679,customers!$A$1:$A$1001,customers!$C$1:$C$1001,,0)))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4">
        <f>INDEX(products!$A$1:$G$49,MATCH(orders!$D679,products!$A$1:$A$49,0),MATCH(orders!L$1,products!$A$1:$G$1,0))</f>
        <v>8.73</v>
      </c>
      <c r="M679">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 " ",(_xlfn.XLOOKUP(C680,customers!$A$1:$A$1001,customers!$C$1:$C$1001,,0)))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4">
        <f>INDEX(products!$A$1:$G$49,MATCH(orders!$D680,products!$A$1:$A$49,0),MATCH(orders!L$1,products!$A$1:$G$1,0))</f>
        <v>29.784999999999997</v>
      </c>
      <c r="M680">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 " ",(_xlfn.XLOOKUP(C681,customers!$A$1:$A$1001,customers!$C$1:$C$1001,,0)))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4">
        <f>INDEX(products!$A$1:$G$49,MATCH(orders!$D681,products!$A$1:$A$49,0),MATCH(orders!L$1,products!$A$1:$G$1,0))</f>
        <v>27.484999999999996</v>
      </c>
      <c r="M681">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 " ",(_xlfn.XLOOKUP(C682,customers!$A$1:$A$1001,customers!$C$1:$C$1001,,0)))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4">
        <f>INDEX(products!$A$1:$G$49,MATCH(orders!$D682,products!$A$1:$A$49,0),MATCH(orders!L$1,products!$A$1:$G$1,0))</f>
        <v>11.25</v>
      </c>
      <c r="M682">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 " ",(_xlfn.XLOOKUP(C683,customers!$A$1:$A$1001,customers!$C$1:$C$1001,,0)))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4">
        <f>INDEX(products!$A$1:$G$49,MATCH(orders!$D683,products!$A$1:$A$49,0),MATCH(orders!L$1,products!$A$1:$G$1,0))</f>
        <v>4.7549999999999999</v>
      </c>
      <c r="M683">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 " ",(_xlfn.XLOOKUP(C684,customers!$A$1:$A$1001,customers!$C$1:$C$1001,,0)))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4">
        <f>INDEX(products!$A$1:$G$49,MATCH(orders!$D684,products!$A$1:$A$49,0),MATCH(orders!L$1,products!$A$1:$G$1,0))</f>
        <v>4.125</v>
      </c>
      <c r="M684">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 " ",(_xlfn.XLOOKUP(C685,customers!$A$1:$A$1001,customers!$C$1:$C$1001,,0)))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4">
        <f>INDEX(products!$A$1:$G$49,MATCH(orders!$D685,products!$A$1:$A$49,0),MATCH(orders!L$1,products!$A$1:$G$1,0))</f>
        <v>7.77</v>
      </c>
      <c r="M68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 " ",(_xlfn.XLOOKUP(C686,customers!$A$1:$A$1001,customers!$C$1:$C$1001,,0)))</f>
        <v xml:space="preserve">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4">
        <f>INDEX(products!$A$1:$G$49,MATCH(orders!$D686,products!$A$1:$A$49,0),MATCH(orders!L$1,products!$A$1:$G$1,0))</f>
        <v>11.95</v>
      </c>
      <c r="M686">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 " ",(_xlfn.XLOOKUP(C687,customers!$A$1:$A$1001,customers!$C$1:$C$1001,,0)))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4">
        <f>INDEX(products!$A$1:$G$49,MATCH(orders!$D687,products!$A$1:$A$49,0),MATCH(orders!L$1,products!$A$1:$G$1,0))</f>
        <v>36.454999999999998</v>
      </c>
      <c r="M687">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 " ",(_xlfn.XLOOKUP(C688,customers!$A$1:$A$1001,customers!$C$1:$C$1001,,0)))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4">
        <f>INDEX(products!$A$1:$G$49,MATCH(orders!$D688,products!$A$1:$A$49,0),MATCH(orders!L$1,products!$A$1:$G$1,0))</f>
        <v>2.6849999999999996</v>
      </c>
      <c r="M688">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 " ",(_xlfn.XLOOKUP(C689,customers!$A$1:$A$1001,customers!$C$1:$C$1001,,0)))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4">
        <f>INDEX(products!$A$1:$G$49,MATCH(orders!$D689,products!$A$1:$A$49,0),MATCH(orders!L$1,products!$A$1:$G$1,0))</f>
        <v>8.25</v>
      </c>
      <c r="M689">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 " ",(_xlfn.XLOOKUP(C690,customers!$A$1:$A$1001,customers!$C$1:$C$1001,,0)))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4">
        <f>INDEX(products!$A$1:$G$49,MATCH(orders!$D690,products!$A$1:$A$49,0),MATCH(orders!L$1,products!$A$1:$G$1,0))</f>
        <v>12.95</v>
      </c>
      <c r="M690">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 " ",(_xlfn.XLOOKUP(C691,customers!$A$1:$A$1001,customers!$C$1:$C$1001,,0)))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4">
        <f>INDEX(products!$A$1:$G$49,MATCH(orders!$D691,products!$A$1:$A$49,0),MATCH(orders!L$1,products!$A$1:$G$1,0))</f>
        <v>6.75</v>
      </c>
      <c r="M691">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 " ",(_xlfn.XLOOKUP(C692,customers!$A$1:$A$1001,customers!$C$1:$C$1001,,0)))</f>
        <v xml:space="preserve">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4">
        <f>INDEX(products!$A$1:$G$49,MATCH(orders!$D692,products!$A$1:$A$49,0),MATCH(orders!L$1,products!$A$1:$G$1,0))</f>
        <v>29.784999999999997</v>
      </c>
      <c r="M692">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 " ",(_xlfn.XLOOKUP(C693,customers!$A$1:$A$1001,customers!$C$1:$C$1001,,0)))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4">
        <f>INDEX(products!$A$1:$G$49,MATCH(orders!$D693,products!$A$1:$A$49,0),MATCH(orders!L$1,products!$A$1:$G$1,0))</f>
        <v>11.25</v>
      </c>
      <c r="M693">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 " ",(_xlfn.XLOOKUP(C694,customers!$A$1:$A$1001,customers!$C$1:$C$1001,,0)))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4">
        <f>INDEX(products!$A$1:$G$49,MATCH(orders!$D694,products!$A$1:$A$49,0),MATCH(orders!L$1,products!$A$1:$G$1,0))</f>
        <v>12.95</v>
      </c>
      <c r="M694">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 " ",(_xlfn.XLOOKUP(C695,customers!$A$1:$A$1001,customers!$C$1:$C$1001,,0)))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4">
        <f>INDEX(products!$A$1:$G$49,MATCH(orders!$D695,products!$A$1:$A$49,0),MATCH(orders!L$1,products!$A$1:$G$1,0))</f>
        <v>25.874999999999996</v>
      </c>
      <c r="M69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 " ",(_xlfn.XLOOKUP(C696,customers!$A$1:$A$1001,customers!$C$1:$C$1001,,0)))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4">
        <f>INDEX(products!$A$1:$G$49,MATCH(orders!$D696,products!$A$1:$A$49,0),MATCH(orders!L$1,products!$A$1:$G$1,0))</f>
        <v>7.29</v>
      </c>
      <c r="M696">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 " ",(_xlfn.XLOOKUP(C697,customers!$A$1:$A$1001,customers!$C$1:$C$1001,,0)))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4">
        <f>INDEX(products!$A$1:$G$49,MATCH(orders!$D697,products!$A$1:$A$49,0),MATCH(orders!L$1,products!$A$1:$G$1,0))</f>
        <v>36.454999999999998</v>
      </c>
      <c r="M697">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 " ",(_xlfn.XLOOKUP(C698,customers!$A$1:$A$1001,customers!$C$1:$C$1001,,0)))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4">
        <f>INDEX(products!$A$1:$G$49,MATCH(orders!$D698,products!$A$1:$A$49,0),MATCH(orders!L$1,products!$A$1:$G$1,0))</f>
        <v>7.77</v>
      </c>
      <c r="M698">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 " ",(_xlfn.XLOOKUP(C699,customers!$A$1:$A$1001,customers!$C$1:$C$1001,,0)))</f>
        <v xml:space="preserve">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4">
        <f>INDEX(products!$A$1:$G$49,MATCH(orders!$D699,products!$A$1:$A$49,0),MATCH(orders!L$1,products!$A$1:$G$1,0))</f>
        <v>6.75</v>
      </c>
      <c r="M699">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 " ",(_xlfn.XLOOKUP(C700,customers!$A$1:$A$1001,customers!$C$1:$C$1001,,0)))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4">
        <f>INDEX(products!$A$1:$G$49,MATCH(orders!$D700,products!$A$1:$A$49,0),MATCH(orders!L$1,products!$A$1:$G$1,0))</f>
        <v>12.95</v>
      </c>
      <c r="M700">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 " ",(_xlfn.XLOOKUP(C701,customers!$A$1:$A$1001,customers!$C$1:$C$1001,,0)))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4">
        <f>INDEX(products!$A$1:$G$49,MATCH(orders!$D701,products!$A$1:$A$49,0),MATCH(orders!L$1,products!$A$1:$G$1,0))</f>
        <v>5.97</v>
      </c>
      <c r="M701">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 " ",(_xlfn.XLOOKUP(C702,customers!$A$1:$A$1001,customers!$C$1:$C$1001,,0)))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4">
        <f>INDEX(products!$A$1:$G$49,MATCH(orders!$D702,products!$A$1:$A$49,0),MATCH(orders!L$1,products!$A$1:$G$1,0))</f>
        <v>9.51</v>
      </c>
      <c r="M702">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 " ",(_xlfn.XLOOKUP(C703,customers!$A$1:$A$1001,customers!$C$1:$C$1001,,0)))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4">
        <f>INDEX(products!$A$1:$G$49,MATCH(orders!$D703,products!$A$1:$A$49,0),MATCH(orders!L$1,products!$A$1:$G$1,0))</f>
        <v>5.97</v>
      </c>
      <c r="M703">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 " ",(_xlfn.XLOOKUP(C704,customers!$A$1:$A$1001,customers!$C$1:$C$1001,,0)))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4">
        <f>INDEX(products!$A$1:$G$49,MATCH(orders!$D704,products!$A$1:$A$49,0),MATCH(orders!L$1,products!$A$1:$G$1,0))</f>
        <v>7.77</v>
      </c>
      <c r="M704">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 " ",(_xlfn.XLOOKUP(C705,customers!$A$1:$A$1001,customers!$C$1:$C$1001,,0)))</f>
        <v xml:space="preserve">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4">
        <f>INDEX(products!$A$1:$G$49,MATCH(orders!$D705,products!$A$1:$A$49,0),MATCH(orders!L$1,products!$A$1:$G$1,0))</f>
        <v>29.784999999999997</v>
      </c>
      <c r="M70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 " ",(_xlfn.XLOOKUP(C706,customers!$A$1:$A$1001,customers!$C$1:$C$1001,,0)))</f>
        <v xml:space="preserve">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4">
        <f>INDEX(products!$A$1:$G$49,MATCH(orders!$D706,products!$A$1:$A$49,0),MATCH(orders!L$1,products!$A$1:$G$1,0))</f>
        <v>3.645</v>
      </c>
      <c r="M706">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 " ",(_xlfn.XLOOKUP(C707,customers!$A$1:$A$1001,customers!$C$1:$C$1001,,0)))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4">
        <f>INDEX(products!$A$1:$G$49,MATCH(orders!$D707,products!$A$1:$A$49,0),MATCH(orders!L$1,products!$A$1:$G$1,0))</f>
        <v>8.91</v>
      </c>
      <c r="M707">
        <f t="shared" ref="M707:M770" si="33">L707*E707</f>
        <v>17.82</v>
      </c>
      <c r="N707" t="str">
        <f t="shared" ref="N707:N770" si="34">IF(I707="Rob", "Robusta",IF(I707= "Exc","Excelsa",IF(I707="Ara","Arabica",IF(I707="Lib","Liberica"," "))))</f>
        <v>Excelsa</v>
      </c>
      <c r="O707" t="str">
        <f t="shared" ref="O707:O770" si="35">IF(J707="M","Medium",IF(J707="L","Light", IF(J707= "D","Dark"," ")))</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 " ",(_xlfn.XLOOKUP(C708,customers!$A$1:$A$1001,customers!$C$1:$C$1001,,0)))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4">
        <f>INDEX(products!$A$1:$G$49,MATCH(orders!$D708,products!$A$1:$A$49,0),MATCH(orders!L$1,products!$A$1:$G$1,0))</f>
        <v>4.125</v>
      </c>
      <c r="M708">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 " ",(_xlfn.XLOOKUP(C709,customers!$A$1:$A$1001,customers!$C$1:$C$1001,,0)))</f>
        <v xml:space="preserve">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4">
        <f>INDEX(products!$A$1:$G$49,MATCH(orders!$D709,products!$A$1:$A$49,0),MATCH(orders!L$1,products!$A$1:$G$1,0))</f>
        <v>12.95</v>
      </c>
      <c r="M709">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 " ",(_xlfn.XLOOKUP(C710,customers!$A$1:$A$1001,customers!$C$1:$C$1001,,0)))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4">
        <f>INDEX(products!$A$1:$G$49,MATCH(orders!$D710,products!$A$1:$A$49,0),MATCH(orders!L$1,products!$A$1:$G$1,0))</f>
        <v>6.75</v>
      </c>
      <c r="M710">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 " ",(_xlfn.XLOOKUP(C711,customers!$A$1:$A$1001,customers!$C$1:$C$1001,,0)))</f>
        <v xml:space="preserve">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4">
        <f>INDEX(products!$A$1:$G$49,MATCH(orders!$D711,products!$A$1:$A$49,0),MATCH(orders!L$1,products!$A$1:$G$1,0))</f>
        <v>8.91</v>
      </c>
      <c r="M711">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 " ",(_xlfn.XLOOKUP(C712,customers!$A$1:$A$1001,customers!$C$1:$C$1001,,0)))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4">
        <f>INDEX(products!$A$1:$G$49,MATCH(orders!$D712,products!$A$1:$A$49,0),MATCH(orders!L$1,products!$A$1:$G$1,0))</f>
        <v>8.25</v>
      </c>
      <c r="M712">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 " ",(_xlfn.XLOOKUP(C713,customers!$A$1:$A$1001,customers!$C$1:$C$1001,,0)))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4">
        <f>INDEX(products!$A$1:$G$49,MATCH(orders!$D713,products!$A$1:$A$49,0),MATCH(orders!L$1,products!$A$1:$G$1,0))</f>
        <v>2.9849999999999999</v>
      </c>
      <c r="M713">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 " ",(_xlfn.XLOOKUP(C714,customers!$A$1:$A$1001,customers!$C$1:$C$1001,,0)))</f>
        <v xml:space="preserve">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4">
        <f>INDEX(products!$A$1:$G$49,MATCH(orders!$D714,products!$A$1:$A$49,0),MATCH(orders!L$1,products!$A$1:$G$1,0))</f>
        <v>8.25</v>
      </c>
      <c r="M714">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 " ",(_xlfn.XLOOKUP(C715,customers!$A$1:$A$1001,customers!$C$1:$C$1001,,0)))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4">
        <f>INDEX(products!$A$1:$G$49,MATCH(orders!$D715,products!$A$1:$A$49,0),MATCH(orders!L$1,products!$A$1:$G$1,0))</f>
        <v>2.9849999999999999</v>
      </c>
      <c r="M71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 " ",(_xlfn.XLOOKUP(C716,customers!$A$1:$A$1001,customers!$C$1:$C$1001,,0)))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4">
        <f>INDEX(products!$A$1:$G$49,MATCH(orders!$D716,products!$A$1:$A$49,0),MATCH(orders!L$1,products!$A$1:$G$1,0))</f>
        <v>3.645</v>
      </c>
      <c r="M716">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 " ",(_xlfn.XLOOKUP(C717,customers!$A$1:$A$1001,customers!$C$1:$C$1001,,0)))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4">
        <f>INDEX(products!$A$1:$G$49,MATCH(orders!$D717,products!$A$1:$A$49,0),MATCH(orders!L$1,products!$A$1:$G$1,0))</f>
        <v>14.85</v>
      </c>
      <c r="M717">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 " ",(_xlfn.XLOOKUP(C718,customers!$A$1:$A$1001,customers!$C$1:$C$1001,,0)))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4">
        <f>INDEX(products!$A$1:$G$49,MATCH(orders!$D718,products!$A$1:$A$49,0),MATCH(orders!L$1,products!$A$1:$G$1,0))</f>
        <v>11.95</v>
      </c>
      <c r="M718">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 " ",(_xlfn.XLOOKUP(C719,customers!$A$1:$A$1001,customers!$C$1:$C$1001,,0)))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4">
        <f>INDEX(products!$A$1:$G$49,MATCH(orders!$D719,products!$A$1:$A$49,0),MATCH(orders!L$1,products!$A$1:$G$1,0))</f>
        <v>22.884999999999998</v>
      </c>
      <c r="M719">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 " ",(_xlfn.XLOOKUP(C720,customers!$A$1:$A$1001,customers!$C$1:$C$1001,,0)))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4">
        <f>INDEX(products!$A$1:$G$49,MATCH(orders!$D720,products!$A$1:$A$49,0),MATCH(orders!L$1,products!$A$1:$G$1,0))</f>
        <v>12.95</v>
      </c>
      <c r="M720">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 " ",(_xlfn.XLOOKUP(C721,customers!$A$1:$A$1001,customers!$C$1:$C$1001,,0)))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4">
        <f>INDEX(products!$A$1:$G$49,MATCH(orders!$D721,products!$A$1:$A$49,0),MATCH(orders!L$1,products!$A$1:$G$1,0))</f>
        <v>15.85</v>
      </c>
      <c r="M721">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 " ",(_xlfn.XLOOKUP(C722,customers!$A$1:$A$1001,customers!$C$1:$C$1001,,0)))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4">
        <f>INDEX(products!$A$1:$G$49,MATCH(orders!$D722,products!$A$1:$A$49,0),MATCH(orders!L$1,products!$A$1:$G$1,0))</f>
        <v>7.29</v>
      </c>
      <c r="M722">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 " ",(_xlfn.XLOOKUP(C723,customers!$A$1:$A$1001,customers!$C$1:$C$1001,,0)))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4">
        <f>INDEX(products!$A$1:$G$49,MATCH(orders!$D723,products!$A$1:$A$49,0),MATCH(orders!L$1,products!$A$1:$G$1,0))</f>
        <v>2.9849999999999999</v>
      </c>
      <c r="M723">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 " ",(_xlfn.XLOOKUP(C724,customers!$A$1:$A$1001,customers!$C$1:$C$1001,,0)))</f>
        <v xml:space="preserve">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4">
        <f>INDEX(products!$A$1:$G$49,MATCH(orders!$D724,products!$A$1:$A$49,0),MATCH(orders!L$1,products!$A$1:$G$1,0))</f>
        <v>12.15</v>
      </c>
      <c r="M724">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 " ",(_xlfn.XLOOKUP(C725,customers!$A$1:$A$1001,customers!$C$1:$C$1001,,0)))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4">
        <f>INDEX(products!$A$1:$G$49,MATCH(orders!$D725,products!$A$1:$A$49,0),MATCH(orders!L$1,products!$A$1:$G$1,0))</f>
        <v>31.624999999999996</v>
      </c>
      <c r="M72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 " ",(_xlfn.XLOOKUP(C726,customers!$A$1:$A$1001,customers!$C$1:$C$1001,,0)))</f>
        <v xml:space="preserve">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4">
        <f>INDEX(products!$A$1:$G$49,MATCH(orders!$D726,products!$A$1:$A$49,0),MATCH(orders!L$1,products!$A$1:$G$1,0))</f>
        <v>3.375</v>
      </c>
      <c r="M726">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 " ",(_xlfn.XLOOKUP(C727,customers!$A$1:$A$1001,customers!$C$1:$C$1001,,0)))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4">
        <f>INDEX(products!$A$1:$G$49,MATCH(orders!$D727,products!$A$1:$A$49,0),MATCH(orders!L$1,products!$A$1:$G$1,0))</f>
        <v>3.8849999999999998</v>
      </c>
      <c r="M727">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 " ",(_xlfn.XLOOKUP(C728,customers!$A$1:$A$1001,customers!$C$1:$C$1001,,0)))</f>
        <v xml:space="preserve">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4">
        <f>INDEX(products!$A$1:$G$49,MATCH(orders!$D728,products!$A$1:$A$49,0),MATCH(orders!L$1,products!$A$1:$G$1,0))</f>
        <v>36.454999999999998</v>
      </c>
      <c r="M728">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 " ",(_xlfn.XLOOKUP(C729,customers!$A$1:$A$1001,customers!$C$1:$C$1001,,0)))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4">
        <f>INDEX(products!$A$1:$G$49,MATCH(orders!$D729,products!$A$1:$A$49,0),MATCH(orders!L$1,products!$A$1:$G$1,0))</f>
        <v>5.97</v>
      </c>
      <c r="M729">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 " ",(_xlfn.XLOOKUP(C730,customers!$A$1:$A$1001,customers!$C$1:$C$1001,,0)))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4">
        <f>INDEX(products!$A$1:$G$49,MATCH(orders!$D730,products!$A$1:$A$49,0),MATCH(orders!L$1,products!$A$1:$G$1,0))</f>
        <v>7.29</v>
      </c>
      <c r="M730">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 " ",(_xlfn.XLOOKUP(C731,customers!$A$1:$A$1001,customers!$C$1:$C$1001,,0)))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4">
        <f>INDEX(products!$A$1:$G$49,MATCH(orders!$D731,products!$A$1:$A$49,0),MATCH(orders!L$1,products!$A$1:$G$1,0))</f>
        <v>4.3650000000000002</v>
      </c>
      <c r="M731">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 " ",(_xlfn.XLOOKUP(C732,customers!$A$1:$A$1001,customers!$C$1:$C$1001,,0)))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4">
        <f>INDEX(products!$A$1:$G$49,MATCH(orders!$D732,products!$A$1:$A$49,0),MATCH(orders!L$1,products!$A$1:$G$1,0))</f>
        <v>36.454999999999998</v>
      </c>
      <c r="M732">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 " ",(_xlfn.XLOOKUP(C733,customers!$A$1:$A$1001,customers!$C$1:$C$1001,,0)))</f>
        <v xml:space="preserve">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4">
        <f>INDEX(products!$A$1:$G$49,MATCH(orders!$D733,products!$A$1:$A$49,0),MATCH(orders!L$1,products!$A$1:$G$1,0))</f>
        <v>3.8849999999999998</v>
      </c>
      <c r="M733">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 " ",(_xlfn.XLOOKUP(C734,customers!$A$1:$A$1001,customers!$C$1:$C$1001,,0)))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4">
        <f>INDEX(products!$A$1:$G$49,MATCH(orders!$D734,products!$A$1:$A$49,0),MATCH(orders!L$1,products!$A$1:$G$1,0))</f>
        <v>4.4550000000000001</v>
      </c>
      <c r="M734">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 " ",(_xlfn.XLOOKUP(C735,customers!$A$1:$A$1001,customers!$C$1:$C$1001,,0)))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4">
        <f>INDEX(products!$A$1:$G$49,MATCH(orders!$D735,products!$A$1:$A$49,0),MATCH(orders!L$1,products!$A$1:$G$1,0))</f>
        <v>33.464999999999996</v>
      </c>
      <c r="M73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 " ",(_xlfn.XLOOKUP(C736,customers!$A$1:$A$1001,customers!$C$1:$C$1001,,0)))</f>
        <v xml:space="preserve">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4">
        <f>INDEX(products!$A$1:$G$49,MATCH(orders!$D736,products!$A$1:$A$49,0),MATCH(orders!L$1,products!$A$1:$G$1,0))</f>
        <v>2.6849999999999996</v>
      </c>
      <c r="M736">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 " ",(_xlfn.XLOOKUP(C737,customers!$A$1:$A$1001,customers!$C$1:$C$1001,,0)))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4">
        <f>INDEX(products!$A$1:$G$49,MATCH(orders!$D737,products!$A$1:$A$49,0),MATCH(orders!L$1,products!$A$1:$G$1,0))</f>
        <v>3.645</v>
      </c>
      <c r="M737">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 " ",(_xlfn.XLOOKUP(C738,customers!$A$1:$A$1001,customers!$C$1:$C$1001,,0)))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4">
        <f>INDEX(products!$A$1:$G$49,MATCH(orders!$D738,products!$A$1:$A$49,0),MATCH(orders!L$1,products!$A$1:$G$1,0))</f>
        <v>12.95</v>
      </c>
      <c r="M738">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 " ",(_xlfn.XLOOKUP(C739,customers!$A$1:$A$1001,customers!$C$1:$C$1001,,0)))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4">
        <f>INDEX(products!$A$1:$G$49,MATCH(orders!$D739,products!$A$1:$A$49,0),MATCH(orders!L$1,products!$A$1:$G$1,0))</f>
        <v>11.25</v>
      </c>
      <c r="M739">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 " ",(_xlfn.XLOOKUP(C740,customers!$A$1:$A$1001,customers!$C$1:$C$1001,,0)))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4">
        <f>INDEX(products!$A$1:$G$49,MATCH(orders!$D740,products!$A$1:$A$49,0),MATCH(orders!L$1,products!$A$1:$G$1,0))</f>
        <v>3.5849999999999995</v>
      </c>
      <c r="M740">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 " ",(_xlfn.XLOOKUP(C741,customers!$A$1:$A$1001,customers!$C$1:$C$1001,,0)))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4">
        <f>INDEX(products!$A$1:$G$49,MATCH(orders!$D741,products!$A$1:$A$49,0),MATCH(orders!L$1,products!$A$1:$G$1,0))</f>
        <v>3.645</v>
      </c>
      <c r="M741">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 " ",(_xlfn.XLOOKUP(C742,customers!$A$1:$A$1001,customers!$C$1:$C$1001,,0)))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4">
        <f>INDEX(products!$A$1:$G$49,MATCH(orders!$D742,products!$A$1:$A$49,0),MATCH(orders!L$1,products!$A$1:$G$1,0))</f>
        <v>7.169999999999999</v>
      </c>
      <c r="M742">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 " ",(_xlfn.XLOOKUP(C743,customers!$A$1:$A$1001,customers!$C$1:$C$1001,,0)))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4">
        <f>INDEX(products!$A$1:$G$49,MATCH(orders!$D743,products!$A$1:$A$49,0),MATCH(orders!L$1,products!$A$1:$G$1,0))</f>
        <v>4.3650000000000002</v>
      </c>
      <c r="M743">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 " ",(_xlfn.XLOOKUP(C744,customers!$A$1:$A$1001,customers!$C$1:$C$1001,,0)))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4">
        <f>INDEX(products!$A$1:$G$49,MATCH(orders!$D744,products!$A$1:$A$49,0),MATCH(orders!L$1,products!$A$1:$G$1,0))</f>
        <v>14.55</v>
      </c>
      <c r="M744">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 " ",(_xlfn.XLOOKUP(C745,customers!$A$1:$A$1001,customers!$C$1:$C$1001,,0)))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4">
        <f>INDEX(products!$A$1:$G$49,MATCH(orders!$D745,products!$A$1:$A$49,0),MATCH(orders!L$1,products!$A$1:$G$1,0))</f>
        <v>5.97</v>
      </c>
      <c r="M74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 " ",(_xlfn.XLOOKUP(C746,customers!$A$1:$A$1001,customers!$C$1:$C$1001,,0)))</f>
        <v xml:space="preserve">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4">
        <f>INDEX(products!$A$1:$G$49,MATCH(orders!$D746,products!$A$1:$A$49,0),MATCH(orders!L$1,products!$A$1:$G$1,0))</f>
        <v>2.9849999999999999</v>
      </c>
      <c r="M746">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 " ",(_xlfn.XLOOKUP(C747,customers!$A$1:$A$1001,customers!$C$1:$C$1001,,0)))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4">
        <f>INDEX(products!$A$1:$G$49,MATCH(orders!$D747,products!$A$1:$A$49,0),MATCH(orders!L$1,products!$A$1:$G$1,0))</f>
        <v>7.29</v>
      </c>
      <c r="M747">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 " ",(_xlfn.XLOOKUP(C748,customers!$A$1:$A$1001,customers!$C$1:$C$1001,,0)))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4">
        <f>INDEX(products!$A$1:$G$49,MATCH(orders!$D748,products!$A$1:$A$49,0),MATCH(orders!L$1,products!$A$1:$G$1,0))</f>
        <v>11.25</v>
      </c>
      <c r="M748">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 " ",(_xlfn.XLOOKUP(C749,customers!$A$1:$A$1001,customers!$C$1:$C$1001,,0)))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4">
        <f>INDEX(products!$A$1:$G$49,MATCH(orders!$D749,products!$A$1:$A$49,0),MATCH(orders!L$1,products!$A$1:$G$1,0))</f>
        <v>8.73</v>
      </c>
      <c r="M749">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 " ",(_xlfn.XLOOKUP(C750,customers!$A$1:$A$1001,customers!$C$1:$C$1001,,0)))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4">
        <f>INDEX(products!$A$1:$G$49,MATCH(orders!$D750,products!$A$1:$A$49,0),MATCH(orders!L$1,products!$A$1:$G$1,0))</f>
        <v>7.29</v>
      </c>
      <c r="M750">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 " ",(_xlfn.XLOOKUP(C751,customers!$A$1:$A$1001,customers!$C$1:$C$1001,,0)))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4">
        <f>INDEX(products!$A$1:$G$49,MATCH(orders!$D751,products!$A$1:$A$49,0),MATCH(orders!L$1,products!$A$1:$G$1,0))</f>
        <v>2.6849999999999996</v>
      </c>
      <c r="M751">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 " ",(_xlfn.XLOOKUP(C752,customers!$A$1:$A$1001,customers!$C$1:$C$1001,,0)))</f>
        <v xml:space="preserve">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4">
        <f>INDEX(products!$A$1:$G$49,MATCH(orders!$D752,products!$A$1:$A$49,0),MATCH(orders!L$1,products!$A$1:$G$1,0))</f>
        <v>5.97</v>
      </c>
      <c r="M752">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 " ",(_xlfn.XLOOKUP(C753,customers!$A$1:$A$1001,customers!$C$1:$C$1001,,0)))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4">
        <f>INDEX(products!$A$1:$G$49,MATCH(orders!$D753,products!$A$1:$A$49,0),MATCH(orders!L$1,products!$A$1:$G$1,0))</f>
        <v>9.51</v>
      </c>
      <c r="M753">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 " ",(_xlfn.XLOOKUP(C754,customers!$A$1:$A$1001,customers!$C$1:$C$1001,,0)))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4">
        <f>INDEX(products!$A$1:$G$49,MATCH(orders!$D754,products!$A$1:$A$49,0),MATCH(orders!L$1,products!$A$1:$G$1,0))</f>
        <v>13.75</v>
      </c>
      <c r="M754">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 " ",(_xlfn.XLOOKUP(C755,customers!$A$1:$A$1001,customers!$C$1:$C$1001,,0)))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4">
        <f>INDEX(products!$A$1:$G$49,MATCH(orders!$D755,products!$A$1:$A$49,0),MATCH(orders!L$1,products!$A$1:$G$1,0))</f>
        <v>5.97</v>
      </c>
      <c r="M75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 " ",(_xlfn.XLOOKUP(C756,customers!$A$1:$A$1001,customers!$C$1:$C$1001,,0)))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4">
        <f>INDEX(products!$A$1:$G$49,MATCH(orders!$D756,products!$A$1:$A$49,0),MATCH(orders!L$1,products!$A$1:$G$1,0))</f>
        <v>2.9849999999999999</v>
      </c>
      <c r="M756">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 " ",(_xlfn.XLOOKUP(C757,customers!$A$1:$A$1001,customers!$C$1:$C$1001,,0)))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4">
        <f>INDEX(products!$A$1:$G$49,MATCH(orders!$D757,products!$A$1:$A$49,0),MATCH(orders!L$1,products!$A$1:$G$1,0))</f>
        <v>4.7549999999999999</v>
      </c>
      <c r="M757">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 " ",(_xlfn.XLOOKUP(C758,customers!$A$1:$A$1001,customers!$C$1:$C$1001,,0)))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4">
        <f>INDEX(products!$A$1:$G$49,MATCH(orders!$D758,products!$A$1:$A$49,0),MATCH(orders!L$1,products!$A$1:$G$1,0))</f>
        <v>8.9499999999999993</v>
      </c>
      <c r="M758">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 " ",(_xlfn.XLOOKUP(C759,customers!$A$1:$A$1001,customers!$C$1:$C$1001,,0)))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4">
        <f>INDEX(products!$A$1:$G$49,MATCH(orders!$D759,products!$A$1:$A$49,0),MATCH(orders!L$1,products!$A$1:$G$1,0))</f>
        <v>5.97</v>
      </c>
      <c r="M759">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 " ",(_xlfn.XLOOKUP(C760,customers!$A$1:$A$1001,customers!$C$1:$C$1001,,0)))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4">
        <f>INDEX(products!$A$1:$G$49,MATCH(orders!$D760,products!$A$1:$A$49,0),MATCH(orders!L$1,products!$A$1:$G$1,0))</f>
        <v>8.9499999999999993</v>
      </c>
      <c r="M760">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 " ",(_xlfn.XLOOKUP(C761,customers!$A$1:$A$1001,customers!$C$1:$C$1001,,0)))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4">
        <f>INDEX(products!$A$1:$G$49,MATCH(orders!$D761,products!$A$1:$A$49,0),MATCH(orders!L$1,products!$A$1:$G$1,0))</f>
        <v>29.784999999999997</v>
      </c>
      <c r="M761">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 " ",(_xlfn.XLOOKUP(C762,customers!$A$1:$A$1001,customers!$C$1:$C$1001,,0)))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4">
        <f>INDEX(products!$A$1:$G$49,MATCH(orders!$D762,products!$A$1:$A$49,0),MATCH(orders!L$1,products!$A$1:$G$1,0))</f>
        <v>8.91</v>
      </c>
      <c r="M762">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 " ",(_xlfn.XLOOKUP(C763,customers!$A$1:$A$1001,customers!$C$1:$C$1001,,0)))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4">
        <f>INDEX(products!$A$1:$G$49,MATCH(orders!$D763,products!$A$1:$A$49,0),MATCH(orders!L$1,products!$A$1:$G$1,0))</f>
        <v>14.85</v>
      </c>
      <c r="M763">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 " ",(_xlfn.XLOOKUP(C764,customers!$A$1:$A$1001,customers!$C$1:$C$1001,,0)))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4">
        <f>INDEX(products!$A$1:$G$49,MATCH(orders!$D764,products!$A$1:$A$49,0),MATCH(orders!L$1,products!$A$1:$G$1,0))</f>
        <v>8.73</v>
      </c>
      <c r="M764">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 " ",(_xlfn.XLOOKUP(C765,customers!$A$1:$A$1001,customers!$C$1:$C$1001,,0)))</f>
        <v xml:space="preserve">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4">
        <f>INDEX(products!$A$1:$G$49,MATCH(orders!$D765,products!$A$1:$A$49,0),MATCH(orders!L$1,products!$A$1:$G$1,0))</f>
        <v>7.77</v>
      </c>
      <c r="M76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 " ",(_xlfn.XLOOKUP(C766,customers!$A$1:$A$1001,customers!$C$1:$C$1001,,0)))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4">
        <f>INDEX(products!$A$1:$G$49,MATCH(orders!$D766,products!$A$1:$A$49,0),MATCH(orders!L$1,products!$A$1:$G$1,0))</f>
        <v>29.784999999999997</v>
      </c>
      <c r="M766">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 " ",(_xlfn.XLOOKUP(C767,customers!$A$1:$A$1001,customers!$C$1:$C$1001,,0)))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4">
        <f>INDEX(products!$A$1:$G$49,MATCH(orders!$D767,products!$A$1:$A$49,0),MATCH(orders!L$1,products!$A$1:$G$1,0))</f>
        <v>9.9499999999999993</v>
      </c>
      <c r="M767">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 " ",(_xlfn.XLOOKUP(C768,customers!$A$1:$A$1001,customers!$C$1:$C$1001,,0)))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4">
        <f>INDEX(products!$A$1:$G$49,MATCH(orders!$D768,products!$A$1:$A$49,0),MATCH(orders!L$1,products!$A$1:$G$1,0))</f>
        <v>7.77</v>
      </c>
      <c r="M768">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 " ",(_xlfn.XLOOKUP(C769,customers!$A$1:$A$1001,customers!$C$1:$C$1001,,0)))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4">
        <f>INDEX(products!$A$1:$G$49,MATCH(orders!$D769,products!$A$1:$A$49,0),MATCH(orders!L$1,products!$A$1:$G$1,0))</f>
        <v>29.784999999999997</v>
      </c>
      <c r="M769">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 " ",(_xlfn.XLOOKUP(C770,customers!$A$1:$A$1001,customers!$C$1:$C$1001,,0)))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4">
        <f>INDEX(products!$A$1:$G$49,MATCH(orders!$D770,products!$A$1:$A$49,0),MATCH(orders!L$1,products!$A$1:$G$1,0))</f>
        <v>11.95</v>
      </c>
      <c r="M770">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 " ",(_xlfn.XLOOKUP(C771,customers!$A$1:$A$1001,customers!$C$1:$C$1001,,0)))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4">
        <f>INDEX(products!$A$1:$G$49,MATCH(orders!$D771,products!$A$1:$A$49,0),MATCH(orders!L$1,products!$A$1:$G$1,0))</f>
        <v>22.884999999999998</v>
      </c>
      <c r="M771">
        <f t="shared" ref="M771:M834" si="36">L771*E771</f>
        <v>137.31</v>
      </c>
      <c r="N771" t="str">
        <f t="shared" ref="N771:N834" si="37">IF(I771="Rob", "Robusta",IF(I771= "Exc","Excelsa",IF(I771="Ara","Arabica",IF(I771="Lib","Liberica"," "))))</f>
        <v>Robusta</v>
      </c>
      <c r="O771" t="str">
        <f t="shared" ref="O771:O834" si="38">IF(J771="M","Medium",IF(J771="L","Light", IF(J771= "D","Dark"," ")))</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 " ",(_xlfn.XLOOKUP(C772,customers!$A$1:$A$1001,customers!$C$1:$C$1001,,0)))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4">
        <f>INDEX(products!$A$1:$G$49,MATCH(orders!$D772,products!$A$1:$A$49,0),MATCH(orders!L$1,products!$A$1:$G$1,0))</f>
        <v>9.9499999999999993</v>
      </c>
      <c r="M772">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 " ",(_xlfn.XLOOKUP(C773,customers!$A$1:$A$1001,customers!$C$1:$C$1001,,0)))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4">
        <f>INDEX(products!$A$1:$G$49,MATCH(orders!$D773,products!$A$1:$A$49,0),MATCH(orders!L$1,products!$A$1:$G$1,0))</f>
        <v>7.169999999999999</v>
      </c>
      <c r="M773">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 " ",(_xlfn.XLOOKUP(C774,customers!$A$1:$A$1001,customers!$C$1:$C$1001,,0)))</f>
        <v xml:space="preserve">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4">
        <f>INDEX(products!$A$1:$G$49,MATCH(orders!$D774,products!$A$1:$A$49,0),MATCH(orders!L$1,products!$A$1:$G$1,0))</f>
        <v>13.75</v>
      </c>
      <c r="M774">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 " ",(_xlfn.XLOOKUP(C775,customers!$A$1:$A$1001,customers!$C$1:$C$1001,,0)))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4">
        <f>INDEX(products!$A$1:$G$49,MATCH(orders!$D775,products!$A$1:$A$49,0),MATCH(orders!L$1,products!$A$1:$G$1,0))</f>
        <v>4.3650000000000002</v>
      </c>
      <c r="M77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 " ",(_xlfn.XLOOKUP(C776,customers!$A$1:$A$1001,customers!$C$1:$C$1001,,0)))</f>
        <v xml:space="preserve">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4">
        <f>INDEX(products!$A$1:$G$49,MATCH(orders!$D776,products!$A$1:$A$49,0),MATCH(orders!L$1,products!$A$1:$G$1,0))</f>
        <v>9.9499999999999993</v>
      </c>
      <c r="M776">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 " ",(_xlfn.XLOOKUP(C777,customers!$A$1:$A$1001,customers!$C$1:$C$1001,,0)))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4">
        <f>INDEX(products!$A$1:$G$49,MATCH(orders!$D777,products!$A$1:$A$49,0),MATCH(orders!L$1,products!$A$1:$G$1,0))</f>
        <v>8.91</v>
      </c>
      <c r="M777">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 " ",(_xlfn.XLOOKUP(C778,customers!$A$1:$A$1001,customers!$C$1:$C$1001,,0)))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4">
        <f>INDEX(products!$A$1:$G$49,MATCH(orders!$D778,products!$A$1:$A$49,0),MATCH(orders!L$1,products!$A$1:$G$1,0))</f>
        <v>6.75</v>
      </c>
      <c r="M778">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 " ",(_xlfn.XLOOKUP(C779,customers!$A$1:$A$1001,customers!$C$1:$C$1001,,0)))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4">
        <f>INDEX(products!$A$1:$G$49,MATCH(orders!$D779,products!$A$1:$A$49,0),MATCH(orders!L$1,products!$A$1:$G$1,0))</f>
        <v>29.784999999999997</v>
      </c>
      <c r="M779">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 " ",(_xlfn.XLOOKUP(C780,customers!$A$1:$A$1001,customers!$C$1:$C$1001,,0)))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4">
        <f>INDEX(products!$A$1:$G$49,MATCH(orders!$D780,products!$A$1:$A$49,0),MATCH(orders!L$1,products!$A$1:$G$1,0))</f>
        <v>9.51</v>
      </c>
      <c r="M780">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 " ",(_xlfn.XLOOKUP(C781,customers!$A$1:$A$1001,customers!$C$1:$C$1001,,0)))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4">
        <f>INDEX(products!$A$1:$G$49,MATCH(orders!$D781,products!$A$1:$A$49,0),MATCH(orders!L$1,products!$A$1:$G$1,0))</f>
        <v>12.95</v>
      </c>
      <c r="M781">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 " ",(_xlfn.XLOOKUP(C782,customers!$A$1:$A$1001,customers!$C$1:$C$1001,,0)))</f>
        <v xml:space="preserve">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4">
        <f>INDEX(products!$A$1:$G$49,MATCH(orders!$D782,products!$A$1:$A$49,0),MATCH(orders!L$1,products!$A$1:$G$1,0))</f>
        <v>13.75</v>
      </c>
      <c r="M782">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 " ",(_xlfn.XLOOKUP(C783,customers!$A$1:$A$1001,customers!$C$1:$C$1001,,0)))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4">
        <f>INDEX(products!$A$1:$G$49,MATCH(orders!$D783,products!$A$1:$A$49,0),MATCH(orders!L$1,products!$A$1:$G$1,0))</f>
        <v>36.454999999999998</v>
      </c>
      <c r="M783">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 " ",(_xlfn.XLOOKUP(C784,customers!$A$1:$A$1001,customers!$C$1:$C$1001,,0)))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4">
        <f>INDEX(products!$A$1:$G$49,MATCH(orders!$D784,products!$A$1:$A$49,0),MATCH(orders!L$1,products!$A$1:$G$1,0))</f>
        <v>4.4550000000000001</v>
      </c>
      <c r="M784">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 " ",(_xlfn.XLOOKUP(C785,customers!$A$1:$A$1001,customers!$C$1:$C$1001,,0)))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4">
        <f>INDEX(products!$A$1:$G$49,MATCH(orders!$D785,products!$A$1:$A$49,0),MATCH(orders!L$1,products!$A$1:$G$1,0))</f>
        <v>8.73</v>
      </c>
      <c r="M78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 " ",(_xlfn.XLOOKUP(C786,customers!$A$1:$A$1001,customers!$C$1:$C$1001,,0)))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4">
        <f>INDEX(products!$A$1:$G$49,MATCH(orders!$D786,products!$A$1:$A$49,0),MATCH(orders!L$1,products!$A$1:$G$1,0))</f>
        <v>15.85</v>
      </c>
      <c r="M786">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 " ",(_xlfn.XLOOKUP(C787,customers!$A$1:$A$1001,customers!$C$1:$C$1001,,0)))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4">
        <f>INDEX(products!$A$1:$G$49,MATCH(orders!$D787,products!$A$1:$A$49,0),MATCH(orders!L$1,products!$A$1:$G$1,0))</f>
        <v>22.884999999999998</v>
      </c>
      <c r="M787">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 " ",(_xlfn.XLOOKUP(C788,customers!$A$1:$A$1001,customers!$C$1:$C$1001,,0)))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4">
        <f>INDEX(products!$A$1:$G$49,MATCH(orders!$D788,products!$A$1:$A$49,0),MATCH(orders!L$1,products!$A$1:$G$1,0))</f>
        <v>27.945</v>
      </c>
      <c r="M788">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 " ",(_xlfn.XLOOKUP(C789,customers!$A$1:$A$1001,customers!$C$1:$C$1001,,0)))</f>
        <v xml:space="preserve">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4">
        <f>INDEX(products!$A$1:$G$49,MATCH(orders!$D789,products!$A$1:$A$49,0),MATCH(orders!L$1,products!$A$1:$G$1,0))</f>
        <v>13.75</v>
      </c>
      <c r="M789">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 " ",(_xlfn.XLOOKUP(C790,customers!$A$1:$A$1001,customers!$C$1:$C$1001,,0)))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4">
        <f>INDEX(products!$A$1:$G$49,MATCH(orders!$D790,products!$A$1:$A$49,0),MATCH(orders!L$1,products!$A$1:$G$1,0))</f>
        <v>22.884999999999998</v>
      </c>
      <c r="M790">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 " ",(_xlfn.XLOOKUP(C791,customers!$A$1:$A$1001,customers!$C$1:$C$1001,,0)))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4">
        <f>INDEX(products!$A$1:$G$49,MATCH(orders!$D791,products!$A$1:$A$49,0),MATCH(orders!L$1,products!$A$1:$G$1,0))</f>
        <v>12.95</v>
      </c>
      <c r="M791">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 " ",(_xlfn.XLOOKUP(C792,customers!$A$1:$A$1001,customers!$C$1:$C$1001,,0)))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4">
        <f>INDEX(products!$A$1:$G$49,MATCH(orders!$D792,products!$A$1:$A$49,0),MATCH(orders!L$1,products!$A$1:$G$1,0))</f>
        <v>7.77</v>
      </c>
      <c r="M792">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 " ",(_xlfn.XLOOKUP(C793,customers!$A$1:$A$1001,customers!$C$1:$C$1001,,0)))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4">
        <f>INDEX(products!$A$1:$G$49,MATCH(orders!$D793,products!$A$1:$A$49,0),MATCH(orders!L$1,products!$A$1:$G$1,0))</f>
        <v>4.7549999999999999</v>
      </c>
      <c r="M793">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 " ",(_xlfn.XLOOKUP(C794,customers!$A$1:$A$1001,customers!$C$1:$C$1001,,0)))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4">
        <f>INDEX(products!$A$1:$G$49,MATCH(orders!$D794,products!$A$1:$A$49,0),MATCH(orders!L$1,products!$A$1:$G$1,0))</f>
        <v>8.73</v>
      </c>
      <c r="M794">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 " ",(_xlfn.XLOOKUP(C795,customers!$A$1:$A$1001,customers!$C$1:$C$1001,,0)))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4">
        <f>INDEX(products!$A$1:$G$49,MATCH(orders!$D795,products!$A$1:$A$49,0),MATCH(orders!L$1,products!$A$1:$G$1,0))</f>
        <v>3.5849999999999995</v>
      </c>
      <c r="M79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 " ",(_xlfn.XLOOKUP(C796,customers!$A$1:$A$1001,customers!$C$1:$C$1001,,0)))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4">
        <f>INDEX(products!$A$1:$G$49,MATCH(orders!$D796,products!$A$1:$A$49,0),MATCH(orders!L$1,products!$A$1:$G$1,0))</f>
        <v>29.784999999999997</v>
      </c>
      <c r="M796">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 " ",(_xlfn.XLOOKUP(C797,customers!$A$1:$A$1001,customers!$C$1:$C$1001,,0)))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4">
        <f>INDEX(products!$A$1:$G$49,MATCH(orders!$D797,products!$A$1:$A$49,0),MATCH(orders!L$1,products!$A$1:$G$1,0))</f>
        <v>7.169999999999999</v>
      </c>
      <c r="M797">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 " ",(_xlfn.XLOOKUP(C798,customers!$A$1:$A$1001,customers!$C$1:$C$1001,,0)))</f>
        <v xml:space="preserve">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4">
        <f>INDEX(products!$A$1:$G$49,MATCH(orders!$D798,products!$A$1:$A$49,0),MATCH(orders!L$1,products!$A$1:$G$1,0))</f>
        <v>9.51</v>
      </c>
      <c r="M798">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 " ",(_xlfn.XLOOKUP(C799,customers!$A$1:$A$1001,customers!$C$1:$C$1001,,0)))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4">
        <f>INDEX(products!$A$1:$G$49,MATCH(orders!$D799,products!$A$1:$A$49,0),MATCH(orders!L$1,products!$A$1:$G$1,0))</f>
        <v>7.77</v>
      </c>
      <c r="M799">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 " ",(_xlfn.XLOOKUP(C800,customers!$A$1:$A$1001,customers!$C$1:$C$1001,,0)))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4">
        <f>INDEX(products!$A$1:$G$49,MATCH(orders!$D800,products!$A$1:$A$49,0),MATCH(orders!L$1,products!$A$1:$G$1,0))</f>
        <v>2.6849999999999996</v>
      </c>
      <c r="M800">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 " ",(_xlfn.XLOOKUP(C801,customers!$A$1:$A$1001,customers!$C$1:$C$1001,,0)))</f>
        <v xml:space="preserve">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4">
        <f>INDEX(products!$A$1:$G$49,MATCH(orders!$D801,products!$A$1:$A$49,0),MATCH(orders!L$1,products!$A$1:$G$1,0))</f>
        <v>12.15</v>
      </c>
      <c r="M801">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 " ",(_xlfn.XLOOKUP(C802,customers!$A$1:$A$1001,customers!$C$1:$C$1001,,0)))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4">
        <f>INDEX(products!$A$1:$G$49,MATCH(orders!$D802,products!$A$1:$A$49,0),MATCH(orders!L$1,products!$A$1:$G$1,0))</f>
        <v>2.6849999999999996</v>
      </c>
      <c r="M802">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 " ",(_xlfn.XLOOKUP(C803,customers!$A$1:$A$1001,customers!$C$1:$C$1001,,0)))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4">
        <f>INDEX(products!$A$1:$G$49,MATCH(orders!$D803,products!$A$1:$A$49,0),MATCH(orders!L$1,products!$A$1:$G$1,0))</f>
        <v>20.584999999999997</v>
      </c>
      <c r="M803">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 " ",(_xlfn.XLOOKUP(C804,customers!$A$1:$A$1001,customers!$C$1:$C$1001,,0)))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4">
        <f>INDEX(products!$A$1:$G$49,MATCH(orders!$D804,products!$A$1:$A$49,0),MATCH(orders!L$1,products!$A$1:$G$1,0))</f>
        <v>2.6849999999999996</v>
      </c>
      <c r="M804">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 " ",(_xlfn.XLOOKUP(C805,customers!$A$1:$A$1001,customers!$C$1:$C$1001,,0)))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4">
        <f>INDEX(products!$A$1:$G$49,MATCH(orders!$D805,products!$A$1:$A$49,0),MATCH(orders!L$1,products!$A$1:$G$1,0))</f>
        <v>31.624999999999996</v>
      </c>
      <c r="M80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 " ",(_xlfn.XLOOKUP(C806,customers!$A$1:$A$1001,customers!$C$1:$C$1001,,0)))</f>
        <v xml:space="preserve">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4">
        <f>INDEX(products!$A$1:$G$49,MATCH(orders!$D806,products!$A$1:$A$49,0),MATCH(orders!L$1,products!$A$1:$G$1,0))</f>
        <v>11.95</v>
      </c>
      <c r="M806">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 " ",(_xlfn.XLOOKUP(C807,customers!$A$1:$A$1001,customers!$C$1:$C$1001,,0)))</f>
        <v xml:space="preserve">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4">
        <f>INDEX(products!$A$1:$G$49,MATCH(orders!$D807,products!$A$1:$A$49,0),MATCH(orders!L$1,products!$A$1:$G$1,0))</f>
        <v>5.97</v>
      </c>
      <c r="M807">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 " ",(_xlfn.XLOOKUP(C808,customers!$A$1:$A$1001,customers!$C$1:$C$1001,,0)))</f>
        <v xml:space="preserve">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4">
        <f>INDEX(products!$A$1:$G$49,MATCH(orders!$D808,products!$A$1:$A$49,0),MATCH(orders!L$1,products!$A$1:$G$1,0))</f>
        <v>3.8849999999999998</v>
      </c>
      <c r="M808">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 " ",(_xlfn.XLOOKUP(C809,customers!$A$1:$A$1001,customers!$C$1:$C$1001,,0)))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4">
        <f>INDEX(products!$A$1:$G$49,MATCH(orders!$D809,products!$A$1:$A$49,0),MATCH(orders!L$1,products!$A$1:$G$1,0))</f>
        <v>7.77</v>
      </c>
      <c r="M809">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 " ",(_xlfn.XLOOKUP(C810,customers!$A$1:$A$1001,customers!$C$1:$C$1001,,0)))</f>
        <v xml:space="preserve">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4">
        <f>INDEX(products!$A$1:$G$49,MATCH(orders!$D810,products!$A$1:$A$49,0),MATCH(orders!L$1,products!$A$1:$G$1,0))</f>
        <v>27.484999999999996</v>
      </c>
      <c r="M810">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 " ",(_xlfn.XLOOKUP(C811,customers!$A$1:$A$1001,customers!$C$1:$C$1001,,0)))</f>
        <v xml:space="preserve">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4">
        <f>INDEX(products!$A$1:$G$49,MATCH(orders!$D811,products!$A$1:$A$49,0),MATCH(orders!L$1,products!$A$1:$G$1,0))</f>
        <v>2.6849999999999996</v>
      </c>
      <c r="M811">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 " ",(_xlfn.XLOOKUP(C812,customers!$A$1:$A$1001,customers!$C$1:$C$1001,,0)))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4">
        <f>INDEX(products!$A$1:$G$49,MATCH(orders!$D812,products!$A$1:$A$49,0),MATCH(orders!L$1,products!$A$1:$G$1,0))</f>
        <v>9.51</v>
      </c>
      <c r="M812">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 " ",(_xlfn.XLOOKUP(C813,customers!$A$1:$A$1001,customers!$C$1:$C$1001,,0)))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4">
        <f>INDEX(products!$A$1:$G$49,MATCH(orders!$D813,products!$A$1:$A$49,0),MATCH(orders!L$1,products!$A$1:$G$1,0))</f>
        <v>11.25</v>
      </c>
      <c r="M813">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 " ",(_xlfn.XLOOKUP(C814,customers!$A$1:$A$1001,customers!$C$1:$C$1001,,0)))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4">
        <f>INDEX(products!$A$1:$G$49,MATCH(orders!$D814,products!$A$1:$A$49,0),MATCH(orders!L$1,products!$A$1:$G$1,0))</f>
        <v>29.784999999999997</v>
      </c>
      <c r="M814">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 " ",(_xlfn.XLOOKUP(C815,customers!$A$1:$A$1001,customers!$C$1:$C$1001,,0)))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4">
        <f>INDEX(products!$A$1:$G$49,MATCH(orders!$D815,products!$A$1:$A$49,0),MATCH(orders!L$1,products!$A$1:$G$1,0))</f>
        <v>31.624999999999996</v>
      </c>
      <c r="M81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 " ",(_xlfn.XLOOKUP(C816,customers!$A$1:$A$1001,customers!$C$1:$C$1001,,0)))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4">
        <f>INDEX(products!$A$1:$G$49,MATCH(orders!$D816,products!$A$1:$A$49,0),MATCH(orders!L$1,products!$A$1:$G$1,0))</f>
        <v>4.4550000000000001</v>
      </c>
      <c r="M816">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 " ",(_xlfn.XLOOKUP(C817,customers!$A$1:$A$1001,customers!$C$1:$C$1001,,0)))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4">
        <f>INDEX(products!$A$1:$G$49,MATCH(orders!$D817,products!$A$1:$A$49,0),MATCH(orders!L$1,products!$A$1:$G$1,0))</f>
        <v>5.97</v>
      </c>
      <c r="M817">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 " ",(_xlfn.XLOOKUP(C818,customers!$A$1:$A$1001,customers!$C$1:$C$1001,,0)))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4">
        <f>INDEX(products!$A$1:$G$49,MATCH(orders!$D818,products!$A$1:$A$49,0),MATCH(orders!L$1,products!$A$1:$G$1,0))</f>
        <v>9.51</v>
      </c>
      <c r="M818">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 " ",(_xlfn.XLOOKUP(C819,customers!$A$1:$A$1001,customers!$C$1:$C$1001,,0)))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4">
        <f>INDEX(products!$A$1:$G$49,MATCH(orders!$D819,products!$A$1:$A$49,0),MATCH(orders!L$1,products!$A$1:$G$1,0))</f>
        <v>7.77</v>
      </c>
      <c r="M819">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 " ",(_xlfn.XLOOKUP(C820,customers!$A$1:$A$1001,customers!$C$1:$C$1001,,0)))</f>
        <v xml:space="preserve">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4">
        <f>INDEX(products!$A$1:$G$49,MATCH(orders!$D820,products!$A$1:$A$49,0),MATCH(orders!L$1,products!$A$1:$G$1,0))</f>
        <v>15.85</v>
      </c>
      <c r="M820">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 " ",(_xlfn.XLOOKUP(C821,customers!$A$1:$A$1001,customers!$C$1:$C$1001,,0)))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4">
        <f>INDEX(products!$A$1:$G$49,MATCH(orders!$D821,products!$A$1:$A$49,0),MATCH(orders!L$1,products!$A$1:$G$1,0))</f>
        <v>4.7549999999999999</v>
      </c>
      <c r="M821">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 " ",(_xlfn.XLOOKUP(C822,customers!$A$1:$A$1001,customers!$C$1:$C$1001,,0)))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4">
        <f>INDEX(products!$A$1:$G$49,MATCH(orders!$D822,products!$A$1:$A$49,0),MATCH(orders!L$1,products!$A$1:$G$1,0))</f>
        <v>13.75</v>
      </c>
      <c r="M822">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 " ",(_xlfn.XLOOKUP(C823,customers!$A$1:$A$1001,customers!$C$1:$C$1001,,0)))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4">
        <f>INDEX(products!$A$1:$G$49,MATCH(orders!$D823,products!$A$1:$A$49,0),MATCH(orders!L$1,products!$A$1:$G$1,0))</f>
        <v>5.3699999999999992</v>
      </c>
      <c r="M823">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 " ",(_xlfn.XLOOKUP(C824,customers!$A$1:$A$1001,customers!$C$1:$C$1001,,0)))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4">
        <f>INDEX(products!$A$1:$G$49,MATCH(orders!$D824,products!$A$1:$A$49,0),MATCH(orders!L$1,products!$A$1:$G$1,0))</f>
        <v>34.154999999999994</v>
      </c>
      <c r="M824">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 " ",(_xlfn.XLOOKUP(C825,customers!$A$1:$A$1001,customers!$C$1:$C$1001,,0)))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4">
        <f>INDEX(products!$A$1:$G$49,MATCH(orders!$D825,products!$A$1:$A$49,0),MATCH(orders!L$1,products!$A$1:$G$1,0))</f>
        <v>15.85</v>
      </c>
      <c r="M82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 " ",(_xlfn.XLOOKUP(C826,customers!$A$1:$A$1001,customers!$C$1:$C$1001,,0)))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4">
        <f>INDEX(products!$A$1:$G$49,MATCH(orders!$D826,products!$A$1:$A$49,0),MATCH(orders!L$1,products!$A$1:$G$1,0))</f>
        <v>3.375</v>
      </c>
      <c r="M826">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 " ",(_xlfn.XLOOKUP(C827,customers!$A$1:$A$1001,customers!$C$1:$C$1001,,0)))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4">
        <f>INDEX(products!$A$1:$G$49,MATCH(orders!$D827,products!$A$1:$A$49,0),MATCH(orders!L$1,products!$A$1:$G$1,0))</f>
        <v>9.9499999999999993</v>
      </c>
      <c r="M827">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 " ",(_xlfn.XLOOKUP(C828,customers!$A$1:$A$1001,customers!$C$1:$C$1001,,0)))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4">
        <f>INDEX(products!$A$1:$G$49,MATCH(orders!$D828,products!$A$1:$A$49,0),MATCH(orders!L$1,products!$A$1:$G$1,0))</f>
        <v>8.25</v>
      </c>
      <c r="M828">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 " ",(_xlfn.XLOOKUP(C829,customers!$A$1:$A$1001,customers!$C$1:$C$1001,,0)))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4">
        <f>INDEX(products!$A$1:$G$49,MATCH(orders!$D829,products!$A$1:$A$49,0),MATCH(orders!L$1,products!$A$1:$G$1,0))</f>
        <v>4.125</v>
      </c>
      <c r="M829">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 " ",(_xlfn.XLOOKUP(C830,customers!$A$1:$A$1001,customers!$C$1:$C$1001,,0)))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4">
        <f>INDEX(products!$A$1:$G$49,MATCH(orders!$D830,products!$A$1:$A$49,0),MATCH(orders!L$1,products!$A$1:$G$1,0))</f>
        <v>22.884999999999998</v>
      </c>
      <c r="M830">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 " ",(_xlfn.XLOOKUP(C831,customers!$A$1:$A$1001,customers!$C$1:$C$1001,,0)))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4">
        <f>INDEX(products!$A$1:$G$49,MATCH(orders!$D831,products!$A$1:$A$49,0),MATCH(orders!L$1,products!$A$1:$G$1,0))</f>
        <v>2.9849999999999999</v>
      </c>
      <c r="M831">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 " ",(_xlfn.XLOOKUP(C832,customers!$A$1:$A$1001,customers!$C$1:$C$1001,,0)))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4">
        <f>INDEX(products!$A$1:$G$49,MATCH(orders!$D832,products!$A$1:$A$49,0),MATCH(orders!L$1,products!$A$1:$G$1,0))</f>
        <v>13.75</v>
      </c>
      <c r="M832">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 " ",(_xlfn.XLOOKUP(C833,customers!$A$1:$A$1001,customers!$C$1:$C$1001,,0)))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4">
        <f>INDEX(products!$A$1:$G$49,MATCH(orders!$D833,products!$A$1:$A$49,0),MATCH(orders!L$1,products!$A$1:$G$1,0))</f>
        <v>2.9849999999999999</v>
      </c>
      <c r="M833">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 " ",(_xlfn.XLOOKUP(C834,customers!$A$1:$A$1001,customers!$C$1:$C$1001,,0)))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4">
        <f>INDEX(products!$A$1:$G$49,MATCH(orders!$D834,products!$A$1:$A$49,0),MATCH(orders!L$1,products!$A$1:$G$1,0))</f>
        <v>9.9499999999999993</v>
      </c>
      <c r="M834">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 " ",(_xlfn.XLOOKUP(C835,customers!$A$1:$A$1001,customers!$C$1:$C$1001,,0)))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4">
        <f>INDEX(products!$A$1:$G$49,MATCH(orders!$D835,products!$A$1:$A$49,0),MATCH(orders!L$1,products!$A$1:$G$1,0))</f>
        <v>20.584999999999997</v>
      </c>
      <c r="M835">
        <f t="shared" ref="M835:M898" si="39">L835*E835</f>
        <v>82.339999999999989</v>
      </c>
      <c r="N835" t="str">
        <f t="shared" ref="N835:N898" si="40">IF(I835="Rob", "Robusta",IF(I835= "Exc","Excelsa",IF(I835="Ara","Arabica",IF(I835="Lib","Liberica"," "))))</f>
        <v>Robusta</v>
      </c>
      <c r="O835" t="str">
        <f t="shared" ref="O835:O898" si="41">IF(J835="M","Medium",IF(J835="L","Light", IF(J835= "D","Dark"," ")))</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 " ",(_xlfn.XLOOKUP(C836,customers!$A$1:$A$1001,customers!$C$1:$C$1001,,0)))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4">
        <f>INDEX(products!$A$1:$G$49,MATCH(orders!$D836,products!$A$1:$A$49,0),MATCH(orders!L$1,products!$A$1:$G$1,0))</f>
        <v>22.884999999999998</v>
      </c>
      <c r="M836">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 " ",(_xlfn.XLOOKUP(C837,customers!$A$1:$A$1001,customers!$C$1:$C$1001,,0)))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4">
        <f>INDEX(products!$A$1:$G$49,MATCH(orders!$D837,products!$A$1:$A$49,0),MATCH(orders!L$1,products!$A$1:$G$1,0))</f>
        <v>8.91</v>
      </c>
      <c r="M837">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 " ",(_xlfn.XLOOKUP(C838,customers!$A$1:$A$1001,customers!$C$1:$C$1001,,0)))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4">
        <f>INDEX(products!$A$1:$G$49,MATCH(orders!$D838,products!$A$1:$A$49,0),MATCH(orders!L$1,products!$A$1:$G$1,0))</f>
        <v>2.9849999999999999</v>
      </c>
      <c r="M838">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 " ",(_xlfn.XLOOKUP(C839,customers!$A$1:$A$1001,customers!$C$1:$C$1001,,0)))</f>
        <v xml:space="preserve">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4">
        <f>INDEX(products!$A$1:$G$49,MATCH(orders!$D839,products!$A$1:$A$49,0),MATCH(orders!L$1,products!$A$1:$G$1,0))</f>
        <v>33.464999999999996</v>
      </c>
      <c r="M839">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 " ",(_xlfn.XLOOKUP(C840,customers!$A$1:$A$1001,customers!$C$1:$C$1001,,0)))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4">
        <f>INDEX(products!$A$1:$G$49,MATCH(orders!$D840,products!$A$1:$A$49,0),MATCH(orders!L$1,products!$A$1:$G$1,0))</f>
        <v>22.884999999999998</v>
      </c>
      <c r="M840">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 " ",(_xlfn.XLOOKUP(C841,customers!$A$1:$A$1001,customers!$C$1:$C$1001,,0)))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4">
        <f>INDEX(products!$A$1:$G$49,MATCH(orders!$D841,products!$A$1:$A$49,0),MATCH(orders!L$1,products!$A$1:$G$1,0))</f>
        <v>8.25</v>
      </c>
      <c r="M841">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 " ",(_xlfn.XLOOKUP(C842,customers!$A$1:$A$1001,customers!$C$1:$C$1001,,0)))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4">
        <f>INDEX(products!$A$1:$G$49,MATCH(orders!$D842,products!$A$1:$A$49,0),MATCH(orders!L$1,products!$A$1:$G$1,0))</f>
        <v>7.169999999999999</v>
      </c>
      <c r="M842">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 " ",(_xlfn.XLOOKUP(C843,customers!$A$1:$A$1001,customers!$C$1:$C$1001,,0)))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4">
        <f>INDEX(products!$A$1:$G$49,MATCH(orders!$D843,products!$A$1:$A$49,0),MATCH(orders!L$1,products!$A$1:$G$1,0))</f>
        <v>4.3650000000000002</v>
      </c>
      <c r="M843">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 " ",(_xlfn.XLOOKUP(C844,customers!$A$1:$A$1001,customers!$C$1:$C$1001,,0)))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4">
        <f>INDEX(products!$A$1:$G$49,MATCH(orders!$D844,products!$A$1:$A$49,0),MATCH(orders!L$1,products!$A$1:$G$1,0))</f>
        <v>4.125</v>
      </c>
      <c r="M844">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 " ",(_xlfn.XLOOKUP(C845,customers!$A$1:$A$1001,customers!$C$1:$C$1001,,0)))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4">
        <f>INDEX(products!$A$1:$G$49,MATCH(orders!$D845,products!$A$1:$A$49,0),MATCH(orders!L$1,products!$A$1:$G$1,0))</f>
        <v>4.125</v>
      </c>
      <c r="M84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 " ",(_xlfn.XLOOKUP(C846,customers!$A$1:$A$1001,customers!$C$1:$C$1001,,0)))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4">
        <f>INDEX(products!$A$1:$G$49,MATCH(orders!$D846,products!$A$1:$A$49,0),MATCH(orders!L$1,products!$A$1:$G$1,0))</f>
        <v>5.97</v>
      </c>
      <c r="M846">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 " ",(_xlfn.XLOOKUP(C847,customers!$A$1:$A$1001,customers!$C$1:$C$1001,,0)))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4">
        <f>INDEX(products!$A$1:$G$49,MATCH(orders!$D847,products!$A$1:$A$49,0),MATCH(orders!L$1,products!$A$1:$G$1,0))</f>
        <v>27.945</v>
      </c>
      <c r="M847">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 " ",(_xlfn.XLOOKUP(C848,customers!$A$1:$A$1001,customers!$C$1:$C$1001,,0)))</f>
        <v xml:space="preserve">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4">
        <f>INDEX(products!$A$1:$G$49,MATCH(orders!$D848,products!$A$1:$A$49,0),MATCH(orders!L$1,products!$A$1:$G$1,0))</f>
        <v>25.874999999999996</v>
      </c>
      <c r="M848">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 " ",(_xlfn.XLOOKUP(C849,customers!$A$1:$A$1001,customers!$C$1:$C$1001,,0)))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4">
        <f>INDEX(products!$A$1:$G$49,MATCH(orders!$D849,products!$A$1:$A$49,0),MATCH(orders!L$1,products!$A$1:$G$1,0))</f>
        <v>2.9849999999999999</v>
      </c>
      <c r="M849">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 " ",(_xlfn.XLOOKUP(C850,customers!$A$1:$A$1001,customers!$C$1:$C$1001,,0)))</f>
        <v xml:space="preserve">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4">
        <f>INDEX(products!$A$1:$G$49,MATCH(orders!$D850,products!$A$1:$A$49,0),MATCH(orders!L$1,products!$A$1:$G$1,0))</f>
        <v>8.91</v>
      </c>
      <c r="M850">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 " ",(_xlfn.XLOOKUP(C851,customers!$A$1:$A$1001,customers!$C$1:$C$1001,,0)))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4">
        <f>INDEX(products!$A$1:$G$49,MATCH(orders!$D851,products!$A$1:$A$49,0),MATCH(orders!L$1,products!$A$1:$G$1,0))</f>
        <v>3.8849999999999998</v>
      </c>
      <c r="M851">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 " ",(_xlfn.XLOOKUP(C852,customers!$A$1:$A$1001,customers!$C$1:$C$1001,,0)))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4">
        <f>INDEX(products!$A$1:$G$49,MATCH(orders!$D852,products!$A$1:$A$49,0),MATCH(orders!L$1,products!$A$1:$G$1,0))</f>
        <v>3.375</v>
      </c>
      <c r="M852">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 " ",(_xlfn.XLOOKUP(C853,customers!$A$1:$A$1001,customers!$C$1:$C$1001,,0)))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4">
        <f>INDEX(products!$A$1:$G$49,MATCH(orders!$D853,products!$A$1:$A$49,0),MATCH(orders!L$1,products!$A$1:$G$1,0))</f>
        <v>7.77</v>
      </c>
      <c r="M853">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 " ",(_xlfn.XLOOKUP(C854,customers!$A$1:$A$1001,customers!$C$1:$C$1001,,0)))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4">
        <f>INDEX(products!$A$1:$G$49,MATCH(orders!$D854,products!$A$1:$A$49,0),MATCH(orders!L$1,products!$A$1:$G$1,0))</f>
        <v>29.784999999999997</v>
      </c>
      <c r="M854">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 " ",(_xlfn.XLOOKUP(C855,customers!$A$1:$A$1001,customers!$C$1:$C$1001,,0)))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4">
        <f>INDEX(products!$A$1:$G$49,MATCH(orders!$D855,products!$A$1:$A$49,0),MATCH(orders!L$1,products!$A$1:$G$1,0))</f>
        <v>9.9499999999999993</v>
      </c>
      <c r="M85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 " ",(_xlfn.XLOOKUP(C856,customers!$A$1:$A$1001,customers!$C$1:$C$1001,,0)))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4">
        <f>INDEX(products!$A$1:$G$49,MATCH(orders!$D856,products!$A$1:$A$49,0),MATCH(orders!L$1,products!$A$1:$G$1,0))</f>
        <v>7.169999999999999</v>
      </c>
      <c r="M856">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 " ",(_xlfn.XLOOKUP(C857,customers!$A$1:$A$1001,customers!$C$1:$C$1001,,0)))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4">
        <f>INDEX(products!$A$1:$G$49,MATCH(orders!$D857,products!$A$1:$A$49,0),MATCH(orders!L$1,products!$A$1:$G$1,0))</f>
        <v>29.784999999999997</v>
      </c>
      <c r="M857">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 " ",(_xlfn.XLOOKUP(C858,customers!$A$1:$A$1001,customers!$C$1:$C$1001,,0)))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4">
        <f>INDEX(products!$A$1:$G$49,MATCH(orders!$D858,products!$A$1:$A$49,0),MATCH(orders!L$1,products!$A$1:$G$1,0))</f>
        <v>4.3650000000000002</v>
      </c>
      <c r="M858">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 " ",(_xlfn.XLOOKUP(C859,customers!$A$1:$A$1001,customers!$C$1:$C$1001,,0)))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4">
        <f>INDEX(products!$A$1:$G$49,MATCH(orders!$D859,products!$A$1:$A$49,0),MATCH(orders!L$1,products!$A$1:$G$1,0))</f>
        <v>27.484999999999996</v>
      </c>
      <c r="M859">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 " ",(_xlfn.XLOOKUP(C860,customers!$A$1:$A$1001,customers!$C$1:$C$1001,,0)))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4">
        <f>INDEX(products!$A$1:$G$49,MATCH(orders!$D860,products!$A$1:$A$49,0),MATCH(orders!L$1,products!$A$1:$G$1,0))</f>
        <v>8.73</v>
      </c>
      <c r="M860">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 " ",(_xlfn.XLOOKUP(C861,customers!$A$1:$A$1001,customers!$C$1:$C$1001,,0)))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4">
        <f>INDEX(products!$A$1:$G$49,MATCH(orders!$D861,products!$A$1:$A$49,0),MATCH(orders!L$1,products!$A$1:$G$1,0))</f>
        <v>29.784999999999997</v>
      </c>
      <c r="M861">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 " ",(_xlfn.XLOOKUP(C862,customers!$A$1:$A$1001,customers!$C$1:$C$1001,,0)))</f>
        <v xml:space="preserve">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4">
        <f>INDEX(products!$A$1:$G$49,MATCH(orders!$D862,products!$A$1:$A$49,0),MATCH(orders!L$1,products!$A$1:$G$1,0))</f>
        <v>25.874999999999996</v>
      </c>
      <c r="M862">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 " ",(_xlfn.XLOOKUP(C863,customers!$A$1:$A$1001,customers!$C$1:$C$1001,,0)))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4">
        <f>INDEX(products!$A$1:$G$49,MATCH(orders!$D863,products!$A$1:$A$49,0),MATCH(orders!L$1,products!$A$1:$G$1,0))</f>
        <v>12.95</v>
      </c>
      <c r="M863">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 " ",(_xlfn.XLOOKUP(C864,customers!$A$1:$A$1001,customers!$C$1:$C$1001,,0)))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4">
        <f>INDEX(products!$A$1:$G$49,MATCH(orders!$D864,products!$A$1:$A$49,0),MATCH(orders!L$1,products!$A$1:$G$1,0))</f>
        <v>9.9499999999999993</v>
      </c>
      <c r="M864">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 " ",(_xlfn.XLOOKUP(C865,customers!$A$1:$A$1001,customers!$C$1:$C$1001,,0)))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4">
        <f>INDEX(products!$A$1:$G$49,MATCH(orders!$D865,products!$A$1:$A$49,0),MATCH(orders!L$1,products!$A$1:$G$1,0))</f>
        <v>14.55</v>
      </c>
      <c r="M86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 " ",(_xlfn.XLOOKUP(C866,customers!$A$1:$A$1001,customers!$C$1:$C$1001,,0)))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4">
        <f>INDEX(products!$A$1:$G$49,MATCH(orders!$D866,products!$A$1:$A$49,0),MATCH(orders!L$1,products!$A$1:$G$1,0))</f>
        <v>3.5849999999999995</v>
      </c>
      <c r="M866">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 " ",(_xlfn.XLOOKUP(C867,customers!$A$1:$A$1001,customers!$C$1:$C$1001,,0)))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4">
        <f>INDEX(products!$A$1:$G$49,MATCH(orders!$D867,products!$A$1:$A$49,0),MATCH(orders!L$1,products!$A$1:$G$1,0))</f>
        <v>6.75</v>
      </c>
      <c r="M867">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 " ",(_xlfn.XLOOKUP(C868,customers!$A$1:$A$1001,customers!$C$1:$C$1001,,0)))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4">
        <f>INDEX(products!$A$1:$G$49,MATCH(orders!$D868,products!$A$1:$A$49,0),MATCH(orders!L$1,products!$A$1:$G$1,0))</f>
        <v>5.97</v>
      </c>
      <c r="M868">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 " ",(_xlfn.XLOOKUP(C869,customers!$A$1:$A$1001,customers!$C$1:$C$1001,,0)))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4">
        <f>INDEX(products!$A$1:$G$49,MATCH(orders!$D869,products!$A$1:$A$49,0),MATCH(orders!L$1,products!$A$1:$G$1,0))</f>
        <v>29.784999999999997</v>
      </c>
      <c r="M869">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 " ",(_xlfn.XLOOKUP(C870,customers!$A$1:$A$1001,customers!$C$1:$C$1001,,0)))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4">
        <f>INDEX(products!$A$1:$G$49,MATCH(orders!$D870,products!$A$1:$A$49,0),MATCH(orders!L$1,products!$A$1:$G$1,0))</f>
        <v>8.25</v>
      </c>
      <c r="M870">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 " ",(_xlfn.XLOOKUP(C871,customers!$A$1:$A$1001,customers!$C$1:$C$1001,,0)))</f>
        <v xml:space="preserve">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4">
        <f>INDEX(products!$A$1:$G$49,MATCH(orders!$D871,products!$A$1:$A$49,0),MATCH(orders!L$1,products!$A$1:$G$1,0))</f>
        <v>5.97</v>
      </c>
      <c r="M871">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 " ",(_xlfn.XLOOKUP(C872,customers!$A$1:$A$1001,customers!$C$1:$C$1001,,0)))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4">
        <f>INDEX(products!$A$1:$G$49,MATCH(orders!$D872,products!$A$1:$A$49,0),MATCH(orders!L$1,products!$A$1:$G$1,0))</f>
        <v>7.29</v>
      </c>
      <c r="M872">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 " ",(_xlfn.XLOOKUP(C873,customers!$A$1:$A$1001,customers!$C$1:$C$1001,,0)))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4">
        <f>INDEX(products!$A$1:$G$49,MATCH(orders!$D873,products!$A$1:$A$49,0),MATCH(orders!L$1,products!$A$1:$G$1,0))</f>
        <v>14.85</v>
      </c>
      <c r="M873">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 " ",(_xlfn.XLOOKUP(C874,customers!$A$1:$A$1001,customers!$C$1:$C$1001,,0)))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4">
        <f>INDEX(products!$A$1:$G$49,MATCH(orders!$D874,products!$A$1:$A$49,0),MATCH(orders!L$1,products!$A$1:$G$1,0))</f>
        <v>11.25</v>
      </c>
      <c r="M874">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 " ",(_xlfn.XLOOKUP(C875,customers!$A$1:$A$1001,customers!$C$1:$C$1001,,0)))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4">
        <f>INDEX(products!$A$1:$G$49,MATCH(orders!$D875,products!$A$1:$A$49,0),MATCH(orders!L$1,products!$A$1:$G$1,0))</f>
        <v>2.9849999999999999</v>
      </c>
      <c r="M87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 " ",(_xlfn.XLOOKUP(C876,customers!$A$1:$A$1001,customers!$C$1:$C$1001,,0)))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4">
        <f>INDEX(products!$A$1:$G$49,MATCH(orders!$D876,products!$A$1:$A$49,0),MATCH(orders!L$1,products!$A$1:$G$1,0))</f>
        <v>12.95</v>
      </c>
      <c r="M876">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 " ",(_xlfn.XLOOKUP(C877,customers!$A$1:$A$1001,customers!$C$1:$C$1001,,0)))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4">
        <f>INDEX(products!$A$1:$G$49,MATCH(orders!$D877,products!$A$1:$A$49,0),MATCH(orders!L$1,products!$A$1:$G$1,0))</f>
        <v>8.73</v>
      </c>
      <c r="M877">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 " ",(_xlfn.XLOOKUP(C878,customers!$A$1:$A$1001,customers!$C$1:$C$1001,,0)))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4">
        <f>INDEX(products!$A$1:$G$49,MATCH(orders!$D878,products!$A$1:$A$49,0),MATCH(orders!L$1,products!$A$1:$G$1,0))</f>
        <v>7.77</v>
      </c>
      <c r="M878">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 " ",(_xlfn.XLOOKUP(C879,customers!$A$1:$A$1001,customers!$C$1:$C$1001,,0)))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4">
        <f>INDEX(products!$A$1:$G$49,MATCH(orders!$D879,products!$A$1:$A$49,0),MATCH(orders!L$1,products!$A$1:$G$1,0))</f>
        <v>9.51</v>
      </c>
      <c r="M879">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 " ",(_xlfn.XLOOKUP(C880,customers!$A$1:$A$1001,customers!$C$1:$C$1001,,0)))</f>
        <v xml:space="preserve">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4">
        <f>INDEX(products!$A$1:$G$49,MATCH(orders!$D880,products!$A$1:$A$49,0),MATCH(orders!L$1,products!$A$1:$G$1,0))</f>
        <v>27.484999999999996</v>
      </c>
      <c r="M880">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 " ",(_xlfn.XLOOKUP(C881,customers!$A$1:$A$1001,customers!$C$1:$C$1001,,0)))</f>
        <v xml:space="preserve">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4">
        <f>INDEX(products!$A$1:$G$49,MATCH(orders!$D881,products!$A$1:$A$49,0),MATCH(orders!L$1,products!$A$1:$G$1,0))</f>
        <v>3.645</v>
      </c>
      <c r="M881">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 " ",(_xlfn.XLOOKUP(C882,customers!$A$1:$A$1001,customers!$C$1:$C$1001,,0)))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4">
        <f>INDEX(products!$A$1:$G$49,MATCH(orders!$D882,products!$A$1:$A$49,0),MATCH(orders!L$1,products!$A$1:$G$1,0))</f>
        <v>3.5849999999999995</v>
      </c>
      <c r="M882">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 " ",(_xlfn.XLOOKUP(C883,customers!$A$1:$A$1001,customers!$C$1:$C$1001,,0)))</f>
        <v xml:space="preserve">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4">
        <f>INDEX(products!$A$1:$G$49,MATCH(orders!$D883,products!$A$1:$A$49,0),MATCH(orders!L$1,products!$A$1:$G$1,0))</f>
        <v>3.8849999999999998</v>
      </c>
      <c r="M883">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 " ",(_xlfn.XLOOKUP(C884,customers!$A$1:$A$1001,customers!$C$1:$C$1001,,0)))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4">
        <f>INDEX(products!$A$1:$G$49,MATCH(orders!$D884,products!$A$1:$A$49,0),MATCH(orders!L$1,products!$A$1:$G$1,0))</f>
        <v>22.884999999999998</v>
      </c>
      <c r="M884">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 " ",(_xlfn.XLOOKUP(C885,customers!$A$1:$A$1001,customers!$C$1:$C$1001,,0)))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4">
        <f>INDEX(products!$A$1:$G$49,MATCH(orders!$D885,products!$A$1:$A$49,0),MATCH(orders!L$1,products!$A$1:$G$1,0))</f>
        <v>25.874999999999996</v>
      </c>
      <c r="M88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 " ",(_xlfn.XLOOKUP(C886,customers!$A$1:$A$1001,customers!$C$1:$C$1001,,0)))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4">
        <f>INDEX(products!$A$1:$G$49,MATCH(orders!$D886,products!$A$1:$A$49,0),MATCH(orders!L$1,products!$A$1:$G$1,0))</f>
        <v>5.3699999999999992</v>
      </c>
      <c r="M886">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 " ",(_xlfn.XLOOKUP(C887,customers!$A$1:$A$1001,customers!$C$1:$C$1001,,0)))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4">
        <f>INDEX(products!$A$1:$G$49,MATCH(orders!$D887,products!$A$1:$A$49,0),MATCH(orders!L$1,products!$A$1:$G$1,0))</f>
        <v>20.584999999999997</v>
      </c>
      <c r="M887">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 " ",(_xlfn.XLOOKUP(C888,customers!$A$1:$A$1001,customers!$C$1:$C$1001,,0)))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4">
        <f>INDEX(products!$A$1:$G$49,MATCH(orders!$D888,products!$A$1:$A$49,0),MATCH(orders!L$1,products!$A$1:$G$1,0))</f>
        <v>8.73</v>
      </c>
      <c r="M888">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 " ",(_xlfn.XLOOKUP(C889,customers!$A$1:$A$1001,customers!$C$1:$C$1001,,0)))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4">
        <f>INDEX(products!$A$1:$G$49,MATCH(orders!$D889,products!$A$1:$A$49,0),MATCH(orders!L$1,products!$A$1:$G$1,0))</f>
        <v>4.4550000000000001</v>
      </c>
      <c r="M889">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 " ",(_xlfn.XLOOKUP(C890,customers!$A$1:$A$1001,customers!$C$1:$C$1001,,0)))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4">
        <f>INDEX(products!$A$1:$G$49,MATCH(orders!$D890,products!$A$1:$A$49,0),MATCH(orders!L$1,products!$A$1:$G$1,0))</f>
        <v>3.8849999999999998</v>
      </c>
      <c r="M890">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 " ",(_xlfn.XLOOKUP(C891,customers!$A$1:$A$1001,customers!$C$1:$C$1001,,0)))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4">
        <f>INDEX(products!$A$1:$G$49,MATCH(orders!$D891,products!$A$1:$A$49,0),MATCH(orders!L$1,products!$A$1:$G$1,0))</f>
        <v>2.6849999999999996</v>
      </c>
      <c r="M891">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 " ",(_xlfn.XLOOKUP(C892,customers!$A$1:$A$1001,customers!$C$1:$C$1001,,0)))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4">
        <f>INDEX(products!$A$1:$G$49,MATCH(orders!$D892,products!$A$1:$A$49,0),MATCH(orders!L$1,products!$A$1:$G$1,0))</f>
        <v>20.584999999999997</v>
      </c>
      <c r="M892">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 " ",(_xlfn.XLOOKUP(C893,customers!$A$1:$A$1001,customers!$C$1:$C$1001,,0)))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4">
        <f>INDEX(products!$A$1:$G$49,MATCH(orders!$D893,products!$A$1:$A$49,0),MATCH(orders!L$1,products!$A$1:$G$1,0))</f>
        <v>22.884999999999998</v>
      </c>
      <c r="M893">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 " ",(_xlfn.XLOOKUP(C894,customers!$A$1:$A$1001,customers!$C$1:$C$1001,,0)))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4">
        <f>INDEX(products!$A$1:$G$49,MATCH(orders!$D894,products!$A$1:$A$49,0),MATCH(orders!L$1,products!$A$1:$G$1,0))</f>
        <v>4.125</v>
      </c>
      <c r="M894">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 " ",(_xlfn.XLOOKUP(C895,customers!$A$1:$A$1001,customers!$C$1:$C$1001,,0)))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4">
        <f>INDEX(products!$A$1:$G$49,MATCH(orders!$D895,products!$A$1:$A$49,0),MATCH(orders!L$1,products!$A$1:$G$1,0))</f>
        <v>9.51</v>
      </c>
      <c r="M89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 " ",(_xlfn.XLOOKUP(C896,customers!$A$1:$A$1001,customers!$C$1:$C$1001,,0)))</f>
        <v xml:space="preserve">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4">
        <f>INDEX(products!$A$1:$G$49,MATCH(orders!$D896,products!$A$1:$A$49,0),MATCH(orders!L$1,products!$A$1:$G$1,0))</f>
        <v>20.584999999999997</v>
      </c>
      <c r="M896">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 " ",(_xlfn.XLOOKUP(C897,customers!$A$1:$A$1001,customers!$C$1:$C$1001,,0)))</f>
        <v xml:space="preserve">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4">
        <f>INDEX(products!$A$1:$G$49,MATCH(orders!$D897,products!$A$1:$A$49,0),MATCH(orders!L$1,products!$A$1:$G$1,0))</f>
        <v>31.624999999999996</v>
      </c>
      <c r="M897">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 " ",(_xlfn.XLOOKUP(C898,customers!$A$1:$A$1001,customers!$C$1:$C$1001,,0)))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4">
        <f>INDEX(products!$A$1:$G$49,MATCH(orders!$D898,products!$A$1:$A$49,0),MATCH(orders!L$1,products!$A$1:$G$1,0))</f>
        <v>5.3699999999999992</v>
      </c>
      <c r="M898">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 " ",(_xlfn.XLOOKUP(C899,customers!$A$1:$A$1001,customers!$C$1:$C$1001,,0)))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4">
        <f>INDEX(products!$A$1:$G$49,MATCH(orders!$D899,products!$A$1:$A$49,0),MATCH(orders!L$1,products!$A$1:$G$1,0))</f>
        <v>12.15</v>
      </c>
      <c r="M899">
        <f t="shared" ref="M899:M962" si="42">L899*E899</f>
        <v>24.3</v>
      </c>
      <c r="N899" t="str">
        <f t="shared" ref="N899:N962" si="43">IF(I899="Rob", "Robusta",IF(I899= "Exc","Excelsa",IF(I899="Ara","Arabica",IF(I899="Lib","Liberica"," "))))</f>
        <v>Excelsa</v>
      </c>
      <c r="O899" t="str">
        <f t="shared" ref="O899:O962" si="44">IF(J899="M","Medium",IF(J899="L","Light", IF(J899= "D","Dark"," ")))</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 " ",(_xlfn.XLOOKUP(C900,customers!$A$1:$A$1001,customers!$C$1:$C$1001,,0)))</f>
        <v xml:space="preserve">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4">
        <f>INDEX(products!$A$1:$G$49,MATCH(orders!$D900,products!$A$1:$A$49,0),MATCH(orders!L$1,products!$A$1:$G$1,0))</f>
        <v>7.169999999999999</v>
      </c>
      <c r="M900">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 " ",(_xlfn.XLOOKUP(C901,customers!$A$1:$A$1001,customers!$C$1:$C$1001,,0)))</f>
        <v xml:space="preserve">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4">
        <f>INDEX(products!$A$1:$G$49,MATCH(orders!$D901,products!$A$1:$A$49,0),MATCH(orders!L$1,products!$A$1:$G$1,0))</f>
        <v>14.55</v>
      </c>
      <c r="M901">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 " ",(_xlfn.XLOOKUP(C902,customers!$A$1:$A$1001,customers!$C$1:$C$1001,,0)))</f>
        <v xml:space="preserve">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4">
        <f>INDEX(products!$A$1:$G$49,MATCH(orders!$D902,products!$A$1:$A$49,0),MATCH(orders!L$1,products!$A$1:$G$1,0))</f>
        <v>15.85</v>
      </c>
      <c r="M902">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 " ",(_xlfn.XLOOKUP(C903,customers!$A$1:$A$1001,customers!$C$1:$C$1001,,0)))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4">
        <f>INDEX(products!$A$1:$G$49,MATCH(orders!$D903,products!$A$1:$A$49,0),MATCH(orders!L$1,products!$A$1:$G$1,0))</f>
        <v>3.5849999999999995</v>
      </c>
      <c r="M903">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 " ",(_xlfn.XLOOKUP(C904,customers!$A$1:$A$1001,customers!$C$1:$C$1001,,0)))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4">
        <f>INDEX(products!$A$1:$G$49,MATCH(orders!$D904,products!$A$1:$A$49,0),MATCH(orders!L$1,products!$A$1:$G$1,0))</f>
        <v>31.624999999999996</v>
      </c>
      <c r="M904">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 " ",(_xlfn.XLOOKUP(C905,customers!$A$1:$A$1001,customers!$C$1:$C$1001,,0)))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4">
        <f>INDEX(products!$A$1:$G$49,MATCH(orders!$D905,products!$A$1:$A$49,0),MATCH(orders!L$1,products!$A$1:$G$1,0))</f>
        <v>8.73</v>
      </c>
      <c r="M90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 " ",(_xlfn.XLOOKUP(C906,customers!$A$1:$A$1001,customers!$C$1:$C$1001,,0)))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4">
        <f>INDEX(products!$A$1:$G$49,MATCH(orders!$D906,products!$A$1:$A$49,0),MATCH(orders!L$1,products!$A$1:$G$1,0))</f>
        <v>29.784999999999997</v>
      </c>
      <c r="M906">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 " ",(_xlfn.XLOOKUP(C907,customers!$A$1:$A$1001,customers!$C$1:$C$1001,,0)))</f>
        <v xml:space="preserve">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4">
        <f>INDEX(products!$A$1:$G$49,MATCH(orders!$D907,products!$A$1:$A$49,0),MATCH(orders!L$1,products!$A$1:$G$1,0))</f>
        <v>6.75</v>
      </c>
      <c r="M907">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 " ",(_xlfn.XLOOKUP(C908,customers!$A$1:$A$1001,customers!$C$1:$C$1001,,0)))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4">
        <f>INDEX(products!$A$1:$G$49,MATCH(orders!$D908,products!$A$1:$A$49,0),MATCH(orders!L$1,products!$A$1:$G$1,0))</f>
        <v>6.75</v>
      </c>
      <c r="M908">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 " ",(_xlfn.XLOOKUP(C909,customers!$A$1:$A$1001,customers!$C$1:$C$1001,,0)))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4">
        <f>INDEX(products!$A$1:$G$49,MATCH(orders!$D909,products!$A$1:$A$49,0),MATCH(orders!L$1,products!$A$1:$G$1,0))</f>
        <v>12.95</v>
      </c>
      <c r="M909">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 " ",(_xlfn.XLOOKUP(C910,customers!$A$1:$A$1001,customers!$C$1:$C$1001,,0)))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4">
        <f>INDEX(products!$A$1:$G$49,MATCH(orders!$D910,products!$A$1:$A$49,0),MATCH(orders!L$1,products!$A$1:$G$1,0))</f>
        <v>11.95</v>
      </c>
      <c r="M910">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 " ",(_xlfn.XLOOKUP(C911,customers!$A$1:$A$1001,customers!$C$1:$C$1001,,0)))</f>
        <v xml:space="preserve">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4">
        <f>INDEX(products!$A$1:$G$49,MATCH(orders!$D911,products!$A$1:$A$49,0),MATCH(orders!L$1,products!$A$1:$G$1,0))</f>
        <v>3.5849999999999995</v>
      </c>
      <c r="M911">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 " ",(_xlfn.XLOOKUP(C912,customers!$A$1:$A$1001,customers!$C$1:$C$1001,,0)))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4">
        <f>INDEX(products!$A$1:$G$49,MATCH(orders!$D912,products!$A$1:$A$49,0),MATCH(orders!L$1,products!$A$1:$G$1,0))</f>
        <v>22.884999999999998</v>
      </c>
      <c r="M912">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 " ",(_xlfn.XLOOKUP(C913,customers!$A$1:$A$1001,customers!$C$1:$C$1001,,0)))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4">
        <f>INDEX(products!$A$1:$G$49,MATCH(orders!$D913,products!$A$1:$A$49,0),MATCH(orders!L$1,products!$A$1:$G$1,0))</f>
        <v>11.25</v>
      </c>
      <c r="M913">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 " ",(_xlfn.XLOOKUP(C914,customers!$A$1:$A$1001,customers!$C$1:$C$1001,,0)))</f>
        <v xml:space="preserve">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4">
        <f>INDEX(products!$A$1:$G$49,MATCH(orders!$D914,products!$A$1:$A$49,0),MATCH(orders!L$1,products!$A$1:$G$1,0))</f>
        <v>22.884999999999998</v>
      </c>
      <c r="M914">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 " ",(_xlfn.XLOOKUP(C915,customers!$A$1:$A$1001,customers!$C$1:$C$1001,,0)))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4">
        <f>INDEX(products!$A$1:$G$49,MATCH(orders!$D915,products!$A$1:$A$49,0),MATCH(orders!L$1,products!$A$1:$G$1,0))</f>
        <v>6.75</v>
      </c>
      <c r="M91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 " ",(_xlfn.XLOOKUP(C916,customers!$A$1:$A$1001,customers!$C$1:$C$1001,,0)))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4">
        <f>INDEX(products!$A$1:$G$49,MATCH(orders!$D916,products!$A$1:$A$49,0),MATCH(orders!L$1,products!$A$1:$G$1,0))</f>
        <v>11.25</v>
      </c>
      <c r="M916">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 " ",(_xlfn.XLOOKUP(C917,customers!$A$1:$A$1001,customers!$C$1:$C$1001,,0)))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4">
        <f>INDEX(products!$A$1:$G$49,MATCH(orders!$D917,products!$A$1:$A$49,0),MATCH(orders!L$1,products!$A$1:$G$1,0))</f>
        <v>27.945</v>
      </c>
      <c r="M917">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 " ",(_xlfn.XLOOKUP(C918,customers!$A$1:$A$1001,customers!$C$1:$C$1001,,0)))</f>
        <v xml:space="preserve">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4">
        <f>INDEX(products!$A$1:$G$49,MATCH(orders!$D918,products!$A$1:$A$49,0),MATCH(orders!L$1,products!$A$1:$G$1,0))</f>
        <v>3.645</v>
      </c>
      <c r="M918">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 " ",(_xlfn.XLOOKUP(C919,customers!$A$1:$A$1001,customers!$C$1:$C$1001,,0)))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4">
        <f>INDEX(products!$A$1:$G$49,MATCH(orders!$D919,products!$A$1:$A$49,0),MATCH(orders!L$1,products!$A$1:$G$1,0))</f>
        <v>6.75</v>
      </c>
      <c r="M919">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 " ",(_xlfn.XLOOKUP(C920,customers!$A$1:$A$1001,customers!$C$1:$C$1001,,0)))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4">
        <f>INDEX(products!$A$1:$G$49,MATCH(orders!$D920,products!$A$1:$A$49,0),MATCH(orders!L$1,products!$A$1:$G$1,0))</f>
        <v>7.29</v>
      </c>
      <c r="M920">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 " ",(_xlfn.XLOOKUP(C921,customers!$A$1:$A$1001,customers!$C$1:$C$1001,,0)))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4">
        <f>INDEX(products!$A$1:$G$49,MATCH(orders!$D921,products!$A$1:$A$49,0),MATCH(orders!L$1,products!$A$1:$G$1,0))</f>
        <v>2.6849999999999996</v>
      </c>
      <c r="M921">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 " ",(_xlfn.XLOOKUP(C922,customers!$A$1:$A$1001,customers!$C$1:$C$1001,,0)))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4">
        <f>INDEX(products!$A$1:$G$49,MATCH(orders!$D922,products!$A$1:$A$49,0),MATCH(orders!L$1,products!$A$1:$G$1,0))</f>
        <v>20.584999999999997</v>
      </c>
      <c r="M922">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 " ",(_xlfn.XLOOKUP(C923,customers!$A$1:$A$1001,customers!$C$1:$C$1001,,0)))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4">
        <f>INDEX(products!$A$1:$G$49,MATCH(orders!$D923,products!$A$1:$A$49,0),MATCH(orders!L$1,products!$A$1:$G$1,0))</f>
        <v>3.8849999999999998</v>
      </c>
      <c r="M923">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 " ",(_xlfn.XLOOKUP(C924,customers!$A$1:$A$1001,customers!$C$1:$C$1001,,0)))</f>
        <v xml:space="preserve">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4">
        <f>INDEX(products!$A$1:$G$49,MATCH(orders!$D924,products!$A$1:$A$49,0),MATCH(orders!L$1,products!$A$1:$G$1,0))</f>
        <v>11.25</v>
      </c>
      <c r="M924">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 " ",(_xlfn.XLOOKUP(C925,customers!$A$1:$A$1001,customers!$C$1:$C$1001,,0)))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4">
        <f>INDEX(products!$A$1:$G$49,MATCH(orders!$D925,products!$A$1:$A$49,0),MATCH(orders!L$1,products!$A$1:$G$1,0))</f>
        <v>27.945</v>
      </c>
      <c r="M92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 " ",(_xlfn.XLOOKUP(C926,customers!$A$1:$A$1001,customers!$C$1:$C$1001,,0)))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4">
        <f>INDEX(products!$A$1:$G$49,MATCH(orders!$D926,products!$A$1:$A$49,0),MATCH(orders!L$1,products!$A$1:$G$1,0))</f>
        <v>29.784999999999997</v>
      </c>
      <c r="M926">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 " ",(_xlfn.XLOOKUP(C927,customers!$A$1:$A$1001,customers!$C$1:$C$1001,,0)))</f>
        <v xml:space="preserve">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4">
        <f>INDEX(products!$A$1:$G$49,MATCH(orders!$D927,products!$A$1:$A$49,0),MATCH(orders!L$1,products!$A$1:$G$1,0))</f>
        <v>6.75</v>
      </c>
      <c r="M927">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 " ",(_xlfn.XLOOKUP(C928,customers!$A$1:$A$1001,customers!$C$1:$C$1001,,0)))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4">
        <f>INDEX(products!$A$1:$G$49,MATCH(orders!$D928,products!$A$1:$A$49,0),MATCH(orders!L$1,products!$A$1:$G$1,0))</f>
        <v>6.75</v>
      </c>
      <c r="M928">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 " ",(_xlfn.XLOOKUP(C929,customers!$A$1:$A$1001,customers!$C$1:$C$1001,,0)))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4">
        <f>INDEX(products!$A$1:$G$49,MATCH(orders!$D929,products!$A$1:$A$49,0),MATCH(orders!L$1,products!$A$1:$G$1,0))</f>
        <v>27.945</v>
      </c>
      <c r="M929">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 " ",(_xlfn.XLOOKUP(C930,customers!$A$1:$A$1001,customers!$C$1:$C$1001,,0)))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4">
        <f>INDEX(products!$A$1:$G$49,MATCH(orders!$D930,products!$A$1:$A$49,0),MATCH(orders!L$1,products!$A$1:$G$1,0))</f>
        <v>31.624999999999996</v>
      </c>
      <c r="M930">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 " ",(_xlfn.XLOOKUP(C931,customers!$A$1:$A$1001,customers!$C$1:$C$1001,,0)))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4">
        <f>INDEX(products!$A$1:$G$49,MATCH(orders!$D931,products!$A$1:$A$49,0),MATCH(orders!L$1,products!$A$1:$G$1,0))</f>
        <v>4.4550000000000001</v>
      </c>
      <c r="M931">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 " ",(_xlfn.XLOOKUP(C932,customers!$A$1:$A$1001,customers!$C$1:$C$1001,,0)))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4">
        <f>INDEX(products!$A$1:$G$49,MATCH(orders!$D932,products!$A$1:$A$49,0),MATCH(orders!L$1,products!$A$1:$G$1,0))</f>
        <v>12.15</v>
      </c>
      <c r="M932">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 " ",(_xlfn.XLOOKUP(C933,customers!$A$1:$A$1001,customers!$C$1:$C$1001,,0)))</f>
        <v xml:space="preserve">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4">
        <f>INDEX(products!$A$1:$G$49,MATCH(orders!$D933,products!$A$1:$A$49,0),MATCH(orders!L$1,products!$A$1:$G$1,0))</f>
        <v>5.97</v>
      </c>
      <c r="M933">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 " ",(_xlfn.XLOOKUP(C934,customers!$A$1:$A$1001,customers!$C$1:$C$1001,,0)))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4">
        <f>INDEX(products!$A$1:$G$49,MATCH(orders!$D934,products!$A$1:$A$49,0),MATCH(orders!L$1,products!$A$1:$G$1,0))</f>
        <v>13.75</v>
      </c>
      <c r="M934">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 " ",(_xlfn.XLOOKUP(C935,customers!$A$1:$A$1001,customers!$C$1:$C$1001,,0)))</f>
        <v xml:space="preserve">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4">
        <f>INDEX(products!$A$1:$G$49,MATCH(orders!$D935,products!$A$1:$A$49,0),MATCH(orders!L$1,products!$A$1:$G$1,0))</f>
        <v>8.9499999999999993</v>
      </c>
      <c r="M93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 " ",(_xlfn.XLOOKUP(C936,customers!$A$1:$A$1001,customers!$C$1:$C$1001,,0)))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4">
        <f>INDEX(products!$A$1:$G$49,MATCH(orders!$D936,products!$A$1:$A$49,0),MATCH(orders!L$1,products!$A$1:$G$1,0))</f>
        <v>22.884999999999998</v>
      </c>
      <c r="M936">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 " ",(_xlfn.XLOOKUP(C937,customers!$A$1:$A$1001,customers!$C$1:$C$1001,,0)))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4">
        <f>INDEX(products!$A$1:$G$49,MATCH(orders!$D937,products!$A$1:$A$49,0),MATCH(orders!L$1,products!$A$1:$G$1,0))</f>
        <v>25.874999999999996</v>
      </c>
      <c r="M937">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 " ",(_xlfn.XLOOKUP(C938,customers!$A$1:$A$1001,customers!$C$1:$C$1001,,0)))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4">
        <f>INDEX(products!$A$1:$G$49,MATCH(orders!$D938,products!$A$1:$A$49,0),MATCH(orders!L$1,products!$A$1:$G$1,0))</f>
        <v>7.77</v>
      </c>
      <c r="M938">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 " ",(_xlfn.XLOOKUP(C939,customers!$A$1:$A$1001,customers!$C$1:$C$1001,,0)))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4">
        <f>INDEX(products!$A$1:$G$49,MATCH(orders!$D939,products!$A$1:$A$49,0),MATCH(orders!L$1,products!$A$1:$G$1,0))</f>
        <v>22.884999999999998</v>
      </c>
      <c r="M939">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 " ",(_xlfn.XLOOKUP(C940,customers!$A$1:$A$1001,customers!$C$1:$C$1001,,0)))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4">
        <f>INDEX(products!$A$1:$G$49,MATCH(orders!$D940,products!$A$1:$A$49,0),MATCH(orders!L$1,products!$A$1:$G$1,0))</f>
        <v>14.85</v>
      </c>
      <c r="M940">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 " ",(_xlfn.XLOOKUP(C941,customers!$A$1:$A$1001,customers!$C$1:$C$1001,,0)))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4">
        <f>INDEX(products!$A$1:$G$49,MATCH(orders!$D941,products!$A$1:$A$49,0),MATCH(orders!L$1,products!$A$1:$G$1,0))</f>
        <v>4.7549999999999999</v>
      </c>
      <c r="M941">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 " ",(_xlfn.XLOOKUP(C942,customers!$A$1:$A$1001,customers!$C$1:$C$1001,,0)))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4">
        <f>INDEX(products!$A$1:$G$49,MATCH(orders!$D942,products!$A$1:$A$49,0),MATCH(orders!L$1,products!$A$1:$G$1,0))</f>
        <v>7.169999999999999</v>
      </c>
      <c r="M942">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 " ",(_xlfn.XLOOKUP(C943,customers!$A$1:$A$1001,customers!$C$1:$C$1001,,0)))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4">
        <f>INDEX(products!$A$1:$G$49,MATCH(orders!$D943,products!$A$1:$A$49,0),MATCH(orders!L$1,products!$A$1:$G$1,0))</f>
        <v>7.77</v>
      </c>
      <c r="M943">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 " ",(_xlfn.XLOOKUP(C944,customers!$A$1:$A$1001,customers!$C$1:$C$1001,,0)))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4">
        <f>INDEX(products!$A$1:$G$49,MATCH(orders!$D944,products!$A$1:$A$49,0),MATCH(orders!L$1,products!$A$1:$G$1,0))</f>
        <v>11.95</v>
      </c>
      <c r="M944">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 " ",(_xlfn.XLOOKUP(C945,customers!$A$1:$A$1001,customers!$C$1:$C$1001,,0)))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4">
        <f>INDEX(products!$A$1:$G$49,MATCH(orders!$D945,products!$A$1:$A$49,0),MATCH(orders!L$1,products!$A$1:$G$1,0))</f>
        <v>7.77</v>
      </c>
      <c r="M94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 " ",(_xlfn.XLOOKUP(C946,customers!$A$1:$A$1001,customers!$C$1:$C$1001,,0)))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4">
        <f>INDEX(products!$A$1:$G$49,MATCH(orders!$D946,products!$A$1:$A$49,0),MATCH(orders!L$1,products!$A$1:$G$1,0))</f>
        <v>7.169999999999999</v>
      </c>
      <c r="M946">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 " ",(_xlfn.XLOOKUP(C947,customers!$A$1:$A$1001,customers!$C$1:$C$1001,,0)))</f>
        <v xml:space="preserve">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4">
        <f>INDEX(products!$A$1:$G$49,MATCH(orders!$D947,products!$A$1:$A$49,0),MATCH(orders!L$1,products!$A$1:$G$1,0))</f>
        <v>29.784999999999997</v>
      </c>
      <c r="M947">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 " ",(_xlfn.XLOOKUP(C948,customers!$A$1:$A$1001,customers!$C$1:$C$1001,,0)))</f>
        <v xml:space="preserve">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4">
        <f>INDEX(products!$A$1:$G$49,MATCH(orders!$D948,products!$A$1:$A$49,0),MATCH(orders!L$1,products!$A$1:$G$1,0))</f>
        <v>7.77</v>
      </c>
      <c r="M948">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 " ",(_xlfn.XLOOKUP(C949,customers!$A$1:$A$1001,customers!$C$1:$C$1001,,0)))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4">
        <f>INDEX(products!$A$1:$G$49,MATCH(orders!$D949,products!$A$1:$A$49,0),MATCH(orders!L$1,products!$A$1:$G$1,0))</f>
        <v>11.25</v>
      </c>
      <c r="M949">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 " ",(_xlfn.XLOOKUP(C950,customers!$A$1:$A$1001,customers!$C$1:$C$1001,,0)))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4">
        <f>INDEX(products!$A$1:$G$49,MATCH(orders!$D950,products!$A$1:$A$49,0),MATCH(orders!L$1,products!$A$1:$G$1,0))</f>
        <v>27.945</v>
      </c>
      <c r="M950">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 " ",(_xlfn.XLOOKUP(C951,customers!$A$1:$A$1001,customers!$C$1:$C$1001,,0)))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4">
        <f>INDEX(products!$A$1:$G$49,MATCH(orders!$D951,products!$A$1:$A$49,0),MATCH(orders!L$1,products!$A$1:$G$1,0))</f>
        <v>27.484999999999996</v>
      </c>
      <c r="M951">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 " ",(_xlfn.XLOOKUP(C952,customers!$A$1:$A$1001,customers!$C$1:$C$1001,,0)))</f>
        <v xml:space="preserve">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4">
        <f>INDEX(products!$A$1:$G$49,MATCH(orders!$D952,products!$A$1:$A$49,0),MATCH(orders!L$1,products!$A$1:$G$1,0))</f>
        <v>3.5849999999999995</v>
      </c>
      <c r="M952">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 " ",(_xlfn.XLOOKUP(C953,customers!$A$1:$A$1001,customers!$C$1:$C$1001,,0)))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4">
        <f>INDEX(products!$A$1:$G$49,MATCH(orders!$D953,products!$A$1:$A$49,0),MATCH(orders!L$1,products!$A$1:$G$1,0))</f>
        <v>3.5849999999999995</v>
      </c>
      <c r="M953">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 " ",(_xlfn.XLOOKUP(C954,customers!$A$1:$A$1001,customers!$C$1:$C$1001,,0)))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4">
        <f>INDEX(products!$A$1:$G$49,MATCH(orders!$D954,products!$A$1:$A$49,0),MATCH(orders!L$1,products!$A$1:$G$1,0))</f>
        <v>11.25</v>
      </c>
      <c r="M954">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 " ",(_xlfn.XLOOKUP(C955,customers!$A$1:$A$1001,customers!$C$1:$C$1001,,0)))</f>
        <v xml:space="preserve">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4">
        <f>INDEX(products!$A$1:$G$49,MATCH(orders!$D955,products!$A$1:$A$49,0),MATCH(orders!L$1,products!$A$1:$G$1,0))</f>
        <v>3.8849999999999998</v>
      </c>
      <c r="M95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 " ",(_xlfn.XLOOKUP(C956,customers!$A$1:$A$1001,customers!$C$1:$C$1001,,0)))</f>
        <v xml:space="preserve">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4">
        <f>INDEX(products!$A$1:$G$49,MATCH(orders!$D956,products!$A$1:$A$49,0),MATCH(orders!L$1,products!$A$1:$G$1,0))</f>
        <v>27.945</v>
      </c>
      <c r="M956">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 " ",(_xlfn.XLOOKUP(C957,customers!$A$1:$A$1001,customers!$C$1:$C$1001,,0)))</f>
        <v xml:space="preserve">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4">
        <f>INDEX(products!$A$1:$G$49,MATCH(orders!$D957,products!$A$1:$A$49,0),MATCH(orders!L$1,products!$A$1:$G$1,0))</f>
        <v>34.154999999999994</v>
      </c>
      <c r="M957">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 " ",(_xlfn.XLOOKUP(C958,customers!$A$1:$A$1001,customers!$C$1:$C$1001,,0)))</f>
        <v xml:space="preserve">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4">
        <f>INDEX(products!$A$1:$G$49,MATCH(orders!$D958,products!$A$1:$A$49,0),MATCH(orders!L$1,products!$A$1:$G$1,0))</f>
        <v>27.484999999999996</v>
      </c>
      <c r="M958">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 " ",(_xlfn.XLOOKUP(C959,customers!$A$1:$A$1001,customers!$C$1:$C$1001,,0)))</f>
        <v xml:space="preserve">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4">
        <f>INDEX(products!$A$1:$G$49,MATCH(orders!$D959,products!$A$1:$A$49,0),MATCH(orders!L$1,products!$A$1:$G$1,0))</f>
        <v>14.85</v>
      </c>
      <c r="M959">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 " ",(_xlfn.XLOOKUP(C960,customers!$A$1:$A$1001,customers!$C$1:$C$1001,,0)))</f>
        <v xml:space="preserve">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4">
        <f>INDEX(products!$A$1:$G$49,MATCH(orders!$D960,products!$A$1:$A$49,0),MATCH(orders!L$1,products!$A$1:$G$1,0))</f>
        <v>3.8849999999999998</v>
      </c>
      <c r="M960">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 " ",(_xlfn.XLOOKUP(C961,customers!$A$1:$A$1001,customers!$C$1:$C$1001,,0)))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4">
        <f>INDEX(products!$A$1:$G$49,MATCH(orders!$D961,products!$A$1:$A$49,0),MATCH(orders!L$1,products!$A$1:$G$1,0))</f>
        <v>4.7549999999999999</v>
      </c>
      <c r="M961">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 " ",(_xlfn.XLOOKUP(C962,customers!$A$1:$A$1001,customers!$C$1:$C$1001,,0)))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4">
        <f>INDEX(products!$A$1:$G$49,MATCH(orders!$D962,products!$A$1:$A$49,0),MATCH(orders!L$1,products!$A$1:$G$1,0))</f>
        <v>15.85</v>
      </c>
      <c r="M962">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 " ",(_xlfn.XLOOKUP(C963,customers!$A$1:$A$1001,customers!$C$1:$C$1001,,0)))</f>
        <v xml:space="preserve">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4">
        <f>INDEX(products!$A$1:$G$49,MATCH(orders!$D963,products!$A$1:$A$49,0),MATCH(orders!L$1,products!$A$1:$G$1,0))</f>
        <v>22.884999999999998</v>
      </c>
      <c r="M963">
        <f t="shared" ref="M963:M1001" si="45">L963*E963</f>
        <v>45.769999999999996</v>
      </c>
      <c r="N963" t="str">
        <f t="shared" ref="N963:N1001" si="46">IF(I963="Rob", "Robusta",IF(I963= "Exc","Excelsa",IF(I963="Ara","Arabica",IF(I963="Lib","Liberica"," "))))</f>
        <v>Arabica</v>
      </c>
      <c r="O963" t="str">
        <f t="shared" ref="O963:O1001" si="47">IF(J963="M","Medium",IF(J963="L","Light", IF(J963= "D","Dark"," ")))</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 " ",(_xlfn.XLOOKUP(C964,customers!$A$1:$A$1001,customers!$C$1:$C$1001,,0)))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4">
        <f>INDEX(products!$A$1:$G$49,MATCH(orders!$D964,products!$A$1:$A$49,0),MATCH(orders!L$1,products!$A$1:$G$1,0))</f>
        <v>8.9499999999999993</v>
      </c>
      <c r="M964">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 " ",(_xlfn.XLOOKUP(C965,customers!$A$1:$A$1001,customers!$C$1:$C$1001,,0)))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4">
        <f>INDEX(products!$A$1:$G$49,MATCH(orders!$D965,products!$A$1:$A$49,0),MATCH(orders!L$1,products!$A$1:$G$1,0))</f>
        <v>5.97</v>
      </c>
      <c r="M96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 " ",(_xlfn.XLOOKUP(C966,customers!$A$1:$A$1001,customers!$C$1:$C$1001,,0)))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4">
        <f>INDEX(products!$A$1:$G$49,MATCH(orders!$D966,products!$A$1:$A$49,0),MATCH(orders!L$1,products!$A$1:$G$1,0))</f>
        <v>4.4550000000000001</v>
      </c>
      <c r="M966">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 " ",(_xlfn.XLOOKUP(C967,customers!$A$1:$A$1001,customers!$C$1:$C$1001,,0)))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4">
        <f>INDEX(products!$A$1:$G$49,MATCH(orders!$D967,products!$A$1:$A$49,0),MATCH(orders!L$1,products!$A$1:$G$1,0))</f>
        <v>9.9499999999999993</v>
      </c>
      <c r="M967">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 " ",(_xlfn.XLOOKUP(C968,customers!$A$1:$A$1001,customers!$C$1:$C$1001,,0)))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4">
        <f>INDEX(products!$A$1:$G$49,MATCH(orders!$D968,products!$A$1:$A$49,0),MATCH(orders!L$1,products!$A$1:$G$1,0))</f>
        <v>8.91</v>
      </c>
      <c r="M968">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 " ",(_xlfn.XLOOKUP(C969,customers!$A$1:$A$1001,customers!$C$1:$C$1001,,0)))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4">
        <f>INDEX(products!$A$1:$G$49,MATCH(orders!$D969,products!$A$1:$A$49,0),MATCH(orders!L$1,products!$A$1:$G$1,0))</f>
        <v>2.6849999999999996</v>
      </c>
      <c r="M969">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 " ",(_xlfn.XLOOKUP(C970,customers!$A$1:$A$1001,customers!$C$1:$C$1001,,0)))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4">
        <f>INDEX(products!$A$1:$G$49,MATCH(orders!$D970,products!$A$1:$A$49,0),MATCH(orders!L$1,products!$A$1:$G$1,0))</f>
        <v>2.9849999999999999</v>
      </c>
      <c r="M970">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 " ",(_xlfn.XLOOKUP(C971,customers!$A$1:$A$1001,customers!$C$1:$C$1001,,0)))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4">
        <f>INDEX(products!$A$1:$G$49,MATCH(orders!$D971,products!$A$1:$A$49,0),MATCH(orders!L$1,products!$A$1:$G$1,0))</f>
        <v>12.95</v>
      </c>
      <c r="M971">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 " ",(_xlfn.XLOOKUP(C972,customers!$A$1:$A$1001,customers!$C$1:$C$1001,,0)))</f>
        <v xml:space="preserve">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4">
        <f>INDEX(products!$A$1:$G$49,MATCH(orders!$D972,products!$A$1:$A$49,0),MATCH(orders!L$1,products!$A$1:$G$1,0))</f>
        <v>8.25</v>
      </c>
      <c r="M972">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 " ",(_xlfn.XLOOKUP(C973,customers!$A$1:$A$1001,customers!$C$1:$C$1001,,0)))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4">
        <f>INDEX(products!$A$1:$G$49,MATCH(orders!$D973,products!$A$1:$A$49,0),MATCH(orders!L$1,products!$A$1:$G$1,0))</f>
        <v>29.784999999999997</v>
      </c>
      <c r="M973">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 " ",(_xlfn.XLOOKUP(C974,customers!$A$1:$A$1001,customers!$C$1:$C$1001,,0)))</f>
        <v xml:space="preserve">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4">
        <f>INDEX(products!$A$1:$G$49,MATCH(orders!$D974,products!$A$1:$A$49,0),MATCH(orders!L$1,products!$A$1:$G$1,0))</f>
        <v>29.784999999999997</v>
      </c>
      <c r="M974">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 " ",(_xlfn.XLOOKUP(C975,customers!$A$1:$A$1001,customers!$C$1:$C$1001,,0)))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4">
        <f>INDEX(products!$A$1:$G$49,MATCH(orders!$D975,products!$A$1:$A$49,0),MATCH(orders!L$1,products!$A$1:$G$1,0))</f>
        <v>14.55</v>
      </c>
      <c r="M97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 " ",(_xlfn.XLOOKUP(C976,customers!$A$1:$A$1001,customers!$C$1:$C$1001,,0)))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4">
        <f>INDEX(products!$A$1:$G$49,MATCH(orders!$D976,products!$A$1:$A$49,0),MATCH(orders!L$1,products!$A$1:$G$1,0))</f>
        <v>5.3699999999999992</v>
      </c>
      <c r="M976">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 " ",(_xlfn.XLOOKUP(C977,customers!$A$1:$A$1001,customers!$C$1:$C$1001,,0)))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4">
        <f>INDEX(products!$A$1:$G$49,MATCH(orders!$D977,products!$A$1:$A$49,0),MATCH(orders!L$1,products!$A$1:$G$1,0))</f>
        <v>2.9849999999999999</v>
      </c>
      <c r="M977">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 " ",(_xlfn.XLOOKUP(C978,customers!$A$1:$A$1001,customers!$C$1:$C$1001,,0)))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4">
        <f>INDEX(products!$A$1:$G$49,MATCH(orders!$D978,products!$A$1:$A$49,0),MATCH(orders!L$1,products!$A$1:$G$1,0))</f>
        <v>27.484999999999996</v>
      </c>
      <c r="M978">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 " ",(_xlfn.XLOOKUP(C979,customers!$A$1:$A$1001,customers!$C$1:$C$1001,,0)))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4">
        <f>INDEX(products!$A$1:$G$49,MATCH(orders!$D979,products!$A$1:$A$49,0),MATCH(orders!L$1,products!$A$1:$G$1,0))</f>
        <v>11.95</v>
      </c>
      <c r="M979">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 " ",(_xlfn.XLOOKUP(C980,customers!$A$1:$A$1001,customers!$C$1:$C$1001,,0)))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4">
        <f>INDEX(products!$A$1:$G$49,MATCH(orders!$D980,products!$A$1:$A$49,0),MATCH(orders!L$1,products!$A$1:$G$1,0))</f>
        <v>7.77</v>
      </c>
      <c r="M980">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 " ",(_xlfn.XLOOKUP(C981,customers!$A$1:$A$1001,customers!$C$1:$C$1001,,0)))</f>
        <v xml:space="preserve">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4">
        <f>INDEX(products!$A$1:$G$49,MATCH(orders!$D981,products!$A$1:$A$49,0),MATCH(orders!L$1,products!$A$1:$G$1,0))</f>
        <v>5.3699999999999992</v>
      </c>
      <c r="M981">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 " ",(_xlfn.XLOOKUP(C982,customers!$A$1:$A$1001,customers!$C$1:$C$1001,,0)))</f>
        <v xml:space="preserve">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4">
        <f>INDEX(products!$A$1:$G$49,MATCH(orders!$D982,products!$A$1:$A$49,0),MATCH(orders!L$1,products!$A$1:$G$1,0))</f>
        <v>27.945</v>
      </c>
      <c r="M982">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 " ",(_xlfn.XLOOKUP(C983,customers!$A$1:$A$1001,customers!$C$1:$C$1001,,0)))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4">
        <f>INDEX(products!$A$1:$G$49,MATCH(orders!$D983,products!$A$1:$A$49,0),MATCH(orders!L$1,products!$A$1:$G$1,0))</f>
        <v>3.645</v>
      </c>
      <c r="M983">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 " ",(_xlfn.XLOOKUP(C984,customers!$A$1:$A$1001,customers!$C$1:$C$1001,,0)))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4">
        <f>INDEX(products!$A$1:$G$49,MATCH(orders!$D984,products!$A$1:$A$49,0),MATCH(orders!L$1,products!$A$1:$G$1,0))</f>
        <v>11.95</v>
      </c>
      <c r="M984">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 " ",(_xlfn.XLOOKUP(C985,customers!$A$1:$A$1001,customers!$C$1:$C$1001,,0)))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4">
        <f>INDEX(products!$A$1:$G$49,MATCH(orders!$D985,products!$A$1:$A$49,0),MATCH(orders!L$1,products!$A$1:$G$1,0))</f>
        <v>3.375</v>
      </c>
      <c r="M98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 " ",(_xlfn.XLOOKUP(C986,customers!$A$1:$A$1001,customers!$C$1:$C$1001,,0)))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4">
        <f>INDEX(products!$A$1:$G$49,MATCH(orders!$D986,products!$A$1:$A$49,0),MATCH(orders!L$1,products!$A$1:$G$1,0))</f>
        <v>31.624999999999996</v>
      </c>
      <c r="M986">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 " ",(_xlfn.XLOOKUP(C987,customers!$A$1:$A$1001,customers!$C$1:$C$1001,,0)))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4">
        <f>INDEX(products!$A$1:$G$49,MATCH(orders!$D987,products!$A$1:$A$49,0),MATCH(orders!L$1,products!$A$1:$G$1,0))</f>
        <v>11.95</v>
      </c>
      <c r="M987">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 " ",(_xlfn.XLOOKUP(C988,customers!$A$1:$A$1001,customers!$C$1:$C$1001,,0)))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4">
        <f>INDEX(products!$A$1:$G$49,MATCH(orders!$D988,products!$A$1:$A$49,0),MATCH(orders!L$1,products!$A$1:$G$1,0))</f>
        <v>33.464999999999996</v>
      </c>
      <c r="M988">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 " ",(_xlfn.XLOOKUP(C989,customers!$A$1:$A$1001,customers!$C$1:$C$1001,,0)))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4">
        <f>INDEX(products!$A$1:$G$49,MATCH(orders!$D989,products!$A$1:$A$49,0),MATCH(orders!L$1,products!$A$1:$G$1,0))</f>
        <v>5.97</v>
      </c>
      <c r="M989">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 " ",(_xlfn.XLOOKUP(C990,customers!$A$1:$A$1001,customers!$C$1:$C$1001,,0)))</f>
        <v xml:space="preserve">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4">
        <f>INDEX(products!$A$1:$G$49,MATCH(orders!$D990,products!$A$1:$A$49,0),MATCH(orders!L$1,products!$A$1:$G$1,0))</f>
        <v>9.9499999999999993</v>
      </c>
      <c r="M990">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 " ",(_xlfn.XLOOKUP(C991,customers!$A$1:$A$1001,customers!$C$1:$C$1001,,0)))</f>
        <v xml:space="preserve">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4">
        <f>INDEX(products!$A$1:$G$49,MATCH(orders!$D991,products!$A$1:$A$49,0),MATCH(orders!L$1,products!$A$1:$G$1,0))</f>
        <v>25.874999999999996</v>
      </c>
      <c r="M991">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 " ",(_xlfn.XLOOKUP(C992,customers!$A$1:$A$1001,customers!$C$1:$C$1001,,0)))</f>
        <v xml:space="preserve">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4">
        <f>INDEX(products!$A$1:$G$49,MATCH(orders!$D992,products!$A$1:$A$49,0),MATCH(orders!L$1,products!$A$1:$G$1,0))</f>
        <v>3.645</v>
      </c>
      <c r="M992">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 " ",(_xlfn.XLOOKUP(C993,customers!$A$1:$A$1001,customers!$C$1:$C$1001,,0)))</f>
        <v xml:space="preserve">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4">
        <f>INDEX(products!$A$1:$G$49,MATCH(orders!$D993,products!$A$1:$A$49,0),MATCH(orders!L$1,products!$A$1:$G$1,0))</f>
        <v>7.77</v>
      </c>
      <c r="M993">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 " ",(_xlfn.XLOOKUP(C994,customers!$A$1:$A$1001,customers!$C$1:$C$1001,,0)))</f>
        <v xml:space="preserve">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4">
        <f>INDEX(products!$A$1:$G$49,MATCH(orders!$D994,products!$A$1:$A$49,0),MATCH(orders!L$1,products!$A$1:$G$1,0))</f>
        <v>36.454999999999998</v>
      </c>
      <c r="M994">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 " ",(_xlfn.XLOOKUP(C995,customers!$A$1:$A$1001,customers!$C$1:$C$1001,,0)))</f>
        <v xml:space="preserve">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4">
        <f>INDEX(products!$A$1:$G$49,MATCH(orders!$D995,products!$A$1:$A$49,0),MATCH(orders!L$1,products!$A$1:$G$1,0))</f>
        <v>12.95</v>
      </c>
      <c r="M99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 " ",(_xlfn.XLOOKUP(C996,customers!$A$1:$A$1001,customers!$C$1:$C$1001,,0)))</f>
        <v xml:space="preserve">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4">
        <f>INDEX(products!$A$1:$G$49,MATCH(orders!$D996,products!$A$1:$A$49,0),MATCH(orders!L$1,products!$A$1:$G$1,0))</f>
        <v>2.9849999999999999</v>
      </c>
      <c r="M996">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 " ",(_xlfn.XLOOKUP(C997,customers!$A$1:$A$1001,customers!$C$1:$C$1001,,0)))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4">
        <f>INDEX(products!$A$1:$G$49,MATCH(orders!$D997,products!$A$1:$A$49,0),MATCH(orders!L$1,products!$A$1:$G$1,0))</f>
        <v>27.484999999999996</v>
      </c>
      <c r="M997">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 " ",(_xlfn.XLOOKUP(C998,customers!$A$1:$A$1001,customers!$C$1:$C$1001,,0)))</f>
        <v xml:space="preserve">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4">
        <f>INDEX(products!$A$1:$G$49,MATCH(orders!$D998,products!$A$1:$A$49,0),MATCH(orders!L$1,products!$A$1:$G$1,0))</f>
        <v>5.97</v>
      </c>
      <c r="M998">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 " ",(_xlfn.XLOOKUP(C999,customers!$A$1:$A$1001,customers!$C$1:$C$1001,,0)))</f>
        <v xml:space="preserve">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4">
        <f>INDEX(products!$A$1:$G$49,MATCH(orders!$D999,products!$A$1:$A$49,0),MATCH(orders!L$1,products!$A$1:$G$1,0))</f>
        <v>6.75</v>
      </c>
      <c r="M999">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 " ",(_xlfn.XLOOKUP(C1000,customers!$A$1:$A$1001,customers!$C$1:$C$1001,,0)))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4">
        <f>INDEX(products!$A$1:$G$49,MATCH(orders!$D1000,products!$A$1:$A$49,0),MATCH(orders!L$1,products!$A$1:$G$1,0))</f>
        <v>9.9499999999999993</v>
      </c>
      <c r="M1000">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 " ",(_xlfn.XLOOKUP(C1001,customers!$A$1:$A$1001,customers!$C$1:$C$1001,,0)))</f>
        <v xml:space="preserve">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4">
        <f>INDEX(products!$A$1:$G$49,MATCH(orders!$D1001,products!$A$1:$A$49,0),MATCH(orders!L$1,products!$A$1:$G$1,0))</f>
        <v>4.125</v>
      </c>
      <c r="M1001">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MSI</cp:lastModifiedBy>
  <cp:revision/>
  <dcterms:created xsi:type="dcterms:W3CDTF">2022-11-26T09:51:45Z</dcterms:created>
  <dcterms:modified xsi:type="dcterms:W3CDTF">2026-05-16T02:49:19Z</dcterms:modified>
  <cp:category/>
  <cp:contentStatus/>
</cp:coreProperties>
</file>